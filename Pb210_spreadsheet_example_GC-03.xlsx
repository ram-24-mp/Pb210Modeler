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theme/themeOverride1.xml" ContentType="application/vnd.openxmlformats-officedocument.themeOverride+xml"/>
  <Override PartName="/xl/charts/chart1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riley\Documents\Github\Pb210Modeler\"/>
    </mc:Choice>
  </mc:AlternateContent>
  <xr:revisionPtr revIDLastSave="0" documentId="8_{7FBE9DAD-0E4E-4719-A511-249084965933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Constants" sheetId="15" r:id="rId1"/>
    <sheet name="Masses" sheetId="18" r:id="rId2"/>
    <sheet name="Concentrations" sheetId="19" r:id="rId3"/>
    <sheet name="C0 CA" sheetId="27" r:id="rId4"/>
    <sheet name="CA" sheetId="17" r:id="rId5"/>
    <sheet name="CFCS" sheetId="28" r:id="rId6"/>
    <sheet name="DBD(0)" sheetId="35" r:id="rId7"/>
    <sheet name="CF" sheetId="16" r:id="rId8"/>
    <sheet name="Age vs Depth" sheetId="32" r:id="rId9"/>
  </sheets>
  <definedNames>
    <definedName name="_xlnm.Criteria">#REF!</definedName>
    <definedName name="_xlnm.Database">#REF!</definedName>
    <definedName name="hola">#REF!</definedName>
    <definedName name="_xlnm.Print_Area" localSheetId="3">'C0 CA'!$A$1:$I$29</definedName>
    <definedName name="_xlnm.Print_Area" localSheetId="7">CF!$B$3:$Q$72</definedName>
    <definedName name="_xlnm.Print_Area" localSheetId="5">CFCS!$B$1:$L$78</definedName>
    <definedName name="_xlnm.Print_Area" localSheetId="2">Concentrations!$B$2:$L$65</definedName>
    <definedName name="_xlnm.Print_Area" localSheetId="0">Constants!$A$1:$D$26</definedName>
    <definedName name="_xlnm.Print_Area" localSheetId="6">'DBD(0)'!$A$1:$I$31</definedName>
    <definedName name="_xlnm.Print_Area" localSheetId="1">Masses!$A$4:$L$43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35" l="1"/>
  <c r="N8" i="16"/>
  <c r="N6" i="16"/>
  <c r="H10" i="18"/>
  <c r="H12" i="18"/>
  <c r="H14" i="18"/>
  <c r="H16" i="18"/>
  <c r="H18" i="18"/>
  <c r="H20" i="18"/>
  <c r="H22" i="18"/>
  <c r="H24" i="18"/>
  <c r="H26" i="18"/>
  <c r="H28" i="18"/>
  <c r="H30" i="18"/>
  <c r="H32" i="18"/>
  <c r="H34" i="18"/>
  <c r="H36" i="18"/>
  <c r="H38" i="18"/>
  <c r="H40" i="18"/>
  <c r="H42" i="18"/>
  <c r="H44" i="18"/>
  <c r="H46" i="18"/>
  <c r="H48" i="18"/>
  <c r="H50" i="18"/>
  <c r="H52" i="18"/>
  <c r="H54" i="18"/>
  <c r="H56" i="18"/>
  <c r="H58" i="18"/>
  <c r="H60" i="18"/>
  <c r="H62" i="18"/>
  <c r="H64" i="18"/>
  <c r="H66" i="18"/>
  <c r="H68" i="18"/>
  <c r="H70" i="18"/>
  <c r="H72" i="18"/>
  <c r="H74" i="18"/>
  <c r="H76" i="18"/>
  <c r="H78" i="18"/>
  <c r="H80" i="18"/>
  <c r="H82" i="18"/>
  <c r="H84" i="18"/>
  <c r="H86" i="18"/>
  <c r="H88" i="18"/>
  <c r="H90" i="18"/>
  <c r="H92" i="18"/>
  <c r="H94" i="18"/>
  <c r="H96" i="18"/>
  <c r="H98" i="18"/>
  <c r="H100" i="18"/>
  <c r="H102" i="18"/>
  <c r="H8" i="18"/>
  <c r="M31" i="27"/>
  <c r="K10" i="18"/>
  <c r="K8" i="18"/>
  <c r="Q5" i="17" s="1"/>
  <c r="J9" i="18"/>
  <c r="J11" i="18" s="1"/>
  <c r="J13" i="18" s="1"/>
  <c r="L12" i="18" s="1"/>
  <c r="I9" i="18"/>
  <c r="G8" i="18"/>
  <c r="P75" i="19"/>
  <c r="P77" i="19"/>
  <c r="P79" i="19"/>
  <c r="P81" i="19"/>
  <c r="P83" i="19"/>
  <c r="P85" i="19"/>
  <c r="P87" i="19"/>
  <c r="P89" i="19"/>
  <c r="P91" i="19"/>
  <c r="P93" i="19"/>
  <c r="P95" i="19"/>
  <c r="P97" i="19"/>
  <c r="P99" i="19"/>
  <c r="J7" i="18"/>
  <c r="M5" i="19"/>
  <c r="H5" i="19"/>
  <c r="B15" i="15"/>
  <c r="F4" i="32" a="1"/>
  <c r="F4" i="32" s="1"/>
  <c r="C18" i="35" a="1"/>
  <c r="C18" i="35" s="1"/>
  <c r="A18" i="35" a="1"/>
  <c r="A18" i="35" s="1"/>
  <c r="L10" i="18" l="1"/>
  <c r="L8" i="18"/>
  <c r="J15" i="18"/>
  <c r="N5" i="19"/>
  <c r="O75" i="19"/>
  <c r="O77" i="19"/>
  <c r="O79" i="19"/>
  <c r="O81" i="19"/>
  <c r="O83" i="19"/>
  <c r="O85" i="19"/>
  <c r="O87" i="19"/>
  <c r="O89" i="19"/>
  <c r="O91" i="19"/>
  <c r="J5" i="32" a="1"/>
  <c r="J5" i="32" s="1"/>
  <c r="J17" i="18" l="1"/>
  <c r="L14" i="18"/>
  <c r="L75" i="16"/>
  <c r="M75" i="16"/>
  <c r="B76" i="16"/>
  <c r="A75" i="16"/>
  <c r="J19" i="18" l="1"/>
  <c r="L16" i="18"/>
  <c r="A73" i="16"/>
  <c r="B72" i="16"/>
  <c r="L73" i="16"/>
  <c r="N72" i="16" s="1"/>
  <c r="M73" i="16"/>
  <c r="O74" i="16" s="1"/>
  <c r="B74" i="16"/>
  <c r="N74" i="16"/>
  <c r="B5" i="28" a="1"/>
  <c r="A67" i="17"/>
  <c r="A69" i="17"/>
  <c r="A71" i="17"/>
  <c r="A73" i="17"/>
  <c r="N68" i="16"/>
  <c r="N70" i="16"/>
  <c r="L67" i="16"/>
  <c r="M67" i="16"/>
  <c r="L69" i="16"/>
  <c r="M69" i="16"/>
  <c r="O70" i="16" s="1"/>
  <c r="L71" i="16"/>
  <c r="M71" i="16"/>
  <c r="O72" i="16" s="1"/>
  <c r="B68" i="16"/>
  <c r="B70" i="16"/>
  <c r="A67" i="16"/>
  <c r="A69" i="16"/>
  <c r="A71" i="16"/>
  <c r="O71" i="19"/>
  <c r="B71" i="17" s="1"/>
  <c r="O73" i="19"/>
  <c r="B73" i="17" s="1"/>
  <c r="K75" i="19"/>
  <c r="L75" i="19"/>
  <c r="K77" i="19"/>
  <c r="L77" i="19" s="1"/>
  <c r="K79" i="19"/>
  <c r="L79" i="19" s="1"/>
  <c r="K81" i="19"/>
  <c r="L81" i="19" s="1"/>
  <c r="K83" i="19"/>
  <c r="L83" i="19"/>
  <c r="K85" i="19"/>
  <c r="L85" i="19"/>
  <c r="K87" i="19"/>
  <c r="L87" i="19" s="1"/>
  <c r="K89" i="19"/>
  <c r="L89" i="19" s="1"/>
  <c r="K91" i="19"/>
  <c r="L91" i="19"/>
  <c r="K93" i="19"/>
  <c r="L93" i="19"/>
  <c r="O93" i="19"/>
  <c r="K95" i="19"/>
  <c r="L95" i="19"/>
  <c r="O95" i="19"/>
  <c r="K97" i="19"/>
  <c r="L97" i="19" s="1"/>
  <c r="O97" i="19"/>
  <c r="K99" i="19"/>
  <c r="L99" i="19"/>
  <c r="O99" i="19"/>
  <c r="G67" i="19"/>
  <c r="H67" i="19"/>
  <c r="J68" i="19" s="1"/>
  <c r="G69" i="19"/>
  <c r="P69" i="19" s="1"/>
  <c r="H69" i="19"/>
  <c r="G71" i="19"/>
  <c r="H71" i="19"/>
  <c r="J70" i="19" s="1"/>
  <c r="G73" i="19"/>
  <c r="H73" i="17" s="1"/>
  <c r="H73" i="19"/>
  <c r="J72" i="19" s="1"/>
  <c r="G75" i="19"/>
  <c r="H75" i="19"/>
  <c r="J76" i="19" s="1"/>
  <c r="G77" i="19"/>
  <c r="I76" i="19" s="1"/>
  <c r="H77" i="19"/>
  <c r="J78" i="19" s="1"/>
  <c r="G79" i="19"/>
  <c r="H79" i="19"/>
  <c r="G81" i="19"/>
  <c r="H81" i="19"/>
  <c r="G83" i="19"/>
  <c r="H83" i="19"/>
  <c r="G85" i="19"/>
  <c r="I84" i="19" s="1"/>
  <c r="H85" i="19"/>
  <c r="J84" i="19" s="1"/>
  <c r="G87" i="19"/>
  <c r="H87" i="19"/>
  <c r="J88" i="19" s="1"/>
  <c r="G89" i="19"/>
  <c r="I88" i="19" s="1"/>
  <c r="H89" i="19"/>
  <c r="J90" i="19" s="1"/>
  <c r="G91" i="19"/>
  <c r="H91" i="19"/>
  <c r="G93" i="19"/>
  <c r="H93" i="19"/>
  <c r="G95" i="19"/>
  <c r="H95" i="19"/>
  <c r="G97" i="19"/>
  <c r="I96" i="19" s="1"/>
  <c r="H97" i="19"/>
  <c r="J96" i="19" s="1"/>
  <c r="G99" i="19"/>
  <c r="H99" i="19"/>
  <c r="A67" i="19"/>
  <c r="B67" i="19"/>
  <c r="A69" i="19"/>
  <c r="B69" i="19"/>
  <c r="A71" i="19"/>
  <c r="B71" i="19"/>
  <c r="A73" i="19"/>
  <c r="B73" i="19"/>
  <c r="A75" i="19"/>
  <c r="B75" i="19"/>
  <c r="A77" i="19"/>
  <c r="B77" i="19"/>
  <c r="A79" i="19"/>
  <c r="B79" i="19"/>
  <c r="A81" i="19"/>
  <c r="B81" i="19"/>
  <c r="A83" i="19"/>
  <c r="B83" i="19"/>
  <c r="A85" i="19"/>
  <c r="B85" i="19"/>
  <c r="A87" i="19"/>
  <c r="B87" i="19"/>
  <c r="A89" i="19"/>
  <c r="B89" i="19"/>
  <c r="A91" i="19"/>
  <c r="B91" i="19"/>
  <c r="A93" i="19"/>
  <c r="B93" i="19"/>
  <c r="A95" i="19"/>
  <c r="B95" i="19"/>
  <c r="A97" i="19"/>
  <c r="B97" i="19"/>
  <c r="A99" i="19"/>
  <c r="B99" i="19"/>
  <c r="I80" i="19"/>
  <c r="J80" i="19"/>
  <c r="I82" i="19"/>
  <c r="J82" i="19"/>
  <c r="I92" i="19"/>
  <c r="J92" i="19"/>
  <c r="I94" i="19"/>
  <c r="J94" i="19"/>
  <c r="C70" i="18"/>
  <c r="D70" i="18"/>
  <c r="G70" i="18"/>
  <c r="C72" i="18"/>
  <c r="D72" i="18"/>
  <c r="G72" i="18" s="1"/>
  <c r="C74" i="18"/>
  <c r="D74" i="18"/>
  <c r="G74" i="18" s="1"/>
  <c r="C76" i="18"/>
  <c r="D76" i="18"/>
  <c r="G76" i="18"/>
  <c r="C78" i="18"/>
  <c r="D78" i="18"/>
  <c r="G78" i="18"/>
  <c r="C80" i="18"/>
  <c r="D80" i="18"/>
  <c r="G80" i="18" s="1"/>
  <c r="C82" i="18"/>
  <c r="D82" i="18"/>
  <c r="G82" i="18"/>
  <c r="C84" i="18"/>
  <c r="D84" i="18"/>
  <c r="G84" i="18"/>
  <c r="C86" i="18"/>
  <c r="D86" i="18"/>
  <c r="G86" i="18"/>
  <c r="C88" i="18"/>
  <c r="D88" i="18"/>
  <c r="G88" i="18" s="1"/>
  <c r="C90" i="18"/>
  <c r="D90" i="18"/>
  <c r="G90" i="18"/>
  <c r="C92" i="18"/>
  <c r="D92" i="18"/>
  <c r="G92" i="18"/>
  <c r="C94" i="18"/>
  <c r="D94" i="18"/>
  <c r="G94" i="18" s="1"/>
  <c r="C96" i="18"/>
  <c r="D96" i="18"/>
  <c r="G96" i="18" s="1"/>
  <c r="C98" i="18"/>
  <c r="D98" i="18"/>
  <c r="G98" i="18" s="1"/>
  <c r="C100" i="18"/>
  <c r="D100" i="18"/>
  <c r="G100" i="18"/>
  <c r="C102" i="18"/>
  <c r="D102" i="18"/>
  <c r="G102" i="18"/>
  <c r="B103" i="18"/>
  <c r="B71" i="18"/>
  <c r="B73" i="18" s="1"/>
  <c r="B75" i="18" s="1"/>
  <c r="B77" i="18" s="1"/>
  <c r="B79" i="18" s="1"/>
  <c r="B81" i="18" s="1"/>
  <c r="B83" i="18" s="1"/>
  <c r="B85" i="18" s="1"/>
  <c r="B87" i="18" s="1"/>
  <c r="B89" i="18" s="1"/>
  <c r="B91" i="18" s="1"/>
  <c r="B93" i="18" s="1"/>
  <c r="B95" i="18" s="1"/>
  <c r="B97" i="18" s="1"/>
  <c r="B99" i="18" s="1"/>
  <c r="B101" i="18" s="1"/>
  <c r="B11" i="18"/>
  <c r="B13" i="18" s="1"/>
  <c r="B15" i="18" s="1"/>
  <c r="B17" i="18" s="1"/>
  <c r="B19" i="18" s="1"/>
  <c r="B21" i="18" s="1"/>
  <c r="B23" i="18" s="1"/>
  <c r="B25" i="18" s="1"/>
  <c r="B27" i="18" s="1"/>
  <c r="B29" i="18" s="1"/>
  <c r="B31" i="18" s="1"/>
  <c r="B33" i="18" s="1"/>
  <c r="B35" i="18" s="1"/>
  <c r="B37" i="18" s="1"/>
  <c r="B39" i="18" s="1"/>
  <c r="B41" i="18" s="1"/>
  <c r="B43" i="18" s="1"/>
  <c r="B45" i="18" s="1"/>
  <c r="B47" i="18" s="1"/>
  <c r="B49" i="18" s="1"/>
  <c r="B51" i="18" s="1"/>
  <c r="B53" i="18" s="1"/>
  <c r="B55" i="18" s="1"/>
  <c r="B57" i="18" s="1"/>
  <c r="B59" i="18" s="1"/>
  <c r="B61" i="18" s="1"/>
  <c r="B63" i="18" s="1"/>
  <c r="B65" i="18" s="1"/>
  <c r="B67" i="18" s="1"/>
  <c r="B69" i="18" s="1"/>
  <c r="B9" i="18"/>
  <c r="B19" i="15"/>
  <c r="B18" i="15"/>
  <c r="G63" i="19"/>
  <c r="G65" i="19"/>
  <c r="O69" i="19" l="1"/>
  <c r="B69" i="17" s="1"/>
  <c r="P67" i="19"/>
  <c r="I68" i="19"/>
  <c r="K67" i="19"/>
  <c r="L67" i="19" s="1"/>
  <c r="D69" i="16" s="1"/>
  <c r="H67" i="17"/>
  <c r="K73" i="19"/>
  <c r="I66" i="19"/>
  <c r="I72" i="19"/>
  <c r="P71" i="19"/>
  <c r="K71" i="19"/>
  <c r="H71" i="17"/>
  <c r="I74" i="19"/>
  <c r="P73" i="19"/>
  <c r="K69" i="19"/>
  <c r="I70" i="19"/>
  <c r="O67" i="19"/>
  <c r="B67" i="17" s="1"/>
  <c r="H69" i="17"/>
  <c r="O68" i="16"/>
  <c r="J21" i="18"/>
  <c r="L18" i="18"/>
  <c r="B5" i="28"/>
  <c r="I90" i="19"/>
  <c r="I78" i="19"/>
  <c r="J74" i="19"/>
  <c r="J86" i="19"/>
  <c r="I98" i="19"/>
  <c r="I86" i="19"/>
  <c r="J98" i="19"/>
  <c r="N44" i="16"/>
  <c r="N46" i="16"/>
  <c r="N56" i="16"/>
  <c r="N58" i="16"/>
  <c r="N60" i="16"/>
  <c r="L37" i="16"/>
  <c r="N38" i="16" s="1"/>
  <c r="L39" i="16"/>
  <c r="N40" i="16" s="1"/>
  <c r="M39" i="16"/>
  <c r="O40" i="16" s="1"/>
  <c r="L41" i="16"/>
  <c r="N42" i="16" s="1"/>
  <c r="L43" i="16"/>
  <c r="L45" i="16"/>
  <c r="L47" i="16"/>
  <c r="L49" i="16"/>
  <c r="N50" i="16" s="1"/>
  <c r="L51" i="16"/>
  <c r="N52" i="16" s="1"/>
  <c r="M51" i="16"/>
  <c r="L53" i="16"/>
  <c r="N54" i="16" s="1"/>
  <c r="L55" i="16"/>
  <c r="L57" i="16"/>
  <c r="L59" i="16"/>
  <c r="L61" i="16"/>
  <c r="N62" i="16" s="1"/>
  <c r="L63" i="16"/>
  <c r="N64" i="16" s="1"/>
  <c r="M63" i="16"/>
  <c r="O64" i="16" s="1"/>
  <c r="L65" i="16"/>
  <c r="N66" i="16" s="1"/>
  <c r="O63" i="19"/>
  <c r="B63" i="17" s="1"/>
  <c r="O65" i="19"/>
  <c r="B65" i="17" s="1"/>
  <c r="J62" i="19"/>
  <c r="I64" i="19"/>
  <c r="G35" i="19"/>
  <c r="H35" i="19"/>
  <c r="H35" i="17" s="1"/>
  <c r="G37" i="19"/>
  <c r="H37" i="19"/>
  <c r="G39" i="19"/>
  <c r="H39" i="19"/>
  <c r="H39" i="17" s="1"/>
  <c r="G41" i="19"/>
  <c r="H41" i="19"/>
  <c r="G43" i="19"/>
  <c r="H43" i="19"/>
  <c r="H43" i="17" s="1"/>
  <c r="G45" i="19"/>
  <c r="H45" i="19"/>
  <c r="G47" i="19"/>
  <c r="H47" i="19"/>
  <c r="H47" i="17" s="1"/>
  <c r="G49" i="19"/>
  <c r="I50" i="19" s="1"/>
  <c r="H49" i="19"/>
  <c r="G51" i="19"/>
  <c r="H51" i="19"/>
  <c r="H51" i="17" s="1"/>
  <c r="G53" i="19"/>
  <c r="H53" i="19"/>
  <c r="G55" i="19"/>
  <c r="H55" i="19"/>
  <c r="H55" i="17" s="1"/>
  <c r="G57" i="19"/>
  <c r="H57" i="19"/>
  <c r="G59" i="19"/>
  <c r="O59" i="19" s="1"/>
  <c r="B59" i="17" s="1"/>
  <c r="H59" i="19"/>
  <c r="H59" i="17" s="1"/>
  <c r="G61" i="19"/>
  <c r="I62" i="19" s="1"/>
  <c r="H61" i="19"/>
  <c r="H63" i="19"/>
  <c r="P63" i="19" s="1"/>
  <c r="H65" i="19"/>
  <c r="J66" i="19" s="1"/>
  <c r="B65" i="19"/>
  <c r="B61" i="19"/>
  <c r="B63" i="19"/>
  <c r="B55" i="19"/>
  <c r="B57" i="19"/>
  <c r="B59" i="19"/>
  <c r="B49" i="19"/>
  <c r="B51" i="19"/>
  <c r="B53" i="19"/>
  <c r="B35" i="19"/>
  <c r="B37" i="19"/>
  <c r="B39" i="19"/>
  <c r="B41" i="19"/>
  <c r="B43" i="19"/>
  <c r="B45" i="19"/>
  <c r="B47" i="19"/>
  <c r="M41" i="16"/>
  <c r="M43" i="16"/>
  <c r="M45" i="16"/>
  <c r="O46" i="16" s="1"/>
  <c r="M47" i="16"/>
  <c r="M53" i="16"/>
  <c r="M55" i="16"/>
  <c r="O56" i="16" s="1"/>
  <c r="M57" i="16"/>
  <c r="M59" i="16"/>
  <c r="M65" i="16"/>
  <c r="O66" i="16" s="1"/>
  <c r="D38" i="18"/>
  <c r="G38" i="18" s="1"/>
  <c r="D62" i="18"/>
  <c r="G62" i="18" s="1"/>
  <c r="K59" i="19" s="1"/>
  <c r="C54" i="18"/>
  <c r="A51" i="17" s="1"/>
  <c r="D66" i="18"/>
  <c r="G66" i="18" s="1"/>
  <c r="K63" i="19" s="1"/>
  <c r="B8" i="16"/>
  <c r="L35" i="16"/>
  <c r="N36" i="16" s="1"/>
  <c r="G33" i="19"/>
  <c r="B6" i="16"/>
  <c r="B7" i="19"/>
  <c r="B9" i="19"/>
  <c r="B11" i="19"/>
  <c r="B13" i="19"/>
  <c r="B15" i="19"/>
  <c r="B17" i="19"/>
  <c r="B19" i="19"/>
  <c r="B21" i="19"/>
  <c r="B23" i="19"/>
  <c r="B25" i="19"/>
  <c r="B27" i="19"/>
  <c r="B29" i="19"/>
  <c r="B31" i="19"/>
  <c r="B33" i="19"/>
  <c r="B5" i="19"/>
  <c r="I38" i="19" l="1"/>
  <c r="H57" i="17"/>
  <c r="H41" i="17"/>
  <c r="C69" i="16"/>
  <c r="J46" i="19"/>
  <c r="J38" i="19"/>
  <c r="J50" i="19"/>
  <c r="J58" i="19"/>
  <c r="H49" i="17"/>
  <c r="J64" i="19"/>
  <c r="P65" i="19"/>
  <c r="I52" i="19"/>
  <c r="H53" i="17"/>
  <c r="H45" i="17"/>
  <c r="I34" i="19"/>
  <c r="I56" i="19"/>
  <c r="P55" i="19"/>
  <c r="I48" i="19"/>
  <c r="P47" i="19"/>
  <c r="O39" i="19"/>
  <c r="B39" i="17" s="1"/>
  <c r="P39" i="19"/>
  <c r="O61" i="19"/>
  <c r="B61" i="17" s="1"/>
  <c r="P61" i="19"/>
  <c r="I54" i="19"/>
  <c r="P53" i="19"/>
  <c r="I46" i="19"/>
  <c r="P45" i="19"/>
  <c r="O37" i="19"/>
  <c r="B37" i="17" s="1"/>
  <c r="P37" i="19"/>
  <c r="O47" i="19"/>
  <c r="B47" i="17" s="1"/>
  <c r="L71" i="19"/>
  <c r="D73" i="16" s="1"/>
  <c r="C73" i="16"/>
  <c r="I60" i="19"/>
  <c r="P59" i="19"/>
  <c r="O51" i="19"/>
  <c r="B51" i="17" s="1"/>
  <c r="P51" i="19"/>
  <c r="I44" i="19"/>
  <c r="P43" i="19"/>
  <c r="I36" i="19"/>
  <c r="P35" i="19"/>
  <c r="O35" i="19"/>
  <c r="B35" i="17" s="1"/>
  <c r="K35" i="19"/>
  <c r="L35" i="19" s="1"/>
  <c r="D37" i="16" s="1"/>
  <c r="I40" i="19"/>
  <c r="I58" i="19"/>
  <c r="P57" i="19"/>
  <c r="O49" i="19"/>
  <c r="B49" i="17" s="1"/>
  <c r="P49" i="19"/>
  <c r="I42" i="19"/>
  <c r="P41" i="19"/>
  <c r="H37" i="17"/>
  <c r="C71" i="16"/>
  <c r="L69" i="19"/>
  <c r="D71" i="16" s="1"/>
  <c r="L73" i="19"/>
  <c r="D75" i="16" s="1"/>
  <c r="C75" i="16"/>
  <c r="O54" i="16"/>
  <c r="O58" i="16"/>
  <c r="O42" i="16"/>
  <c r="O52" i="16"/>
  <c r="O44" i="16"/>
  <c r="J23" i="18"/>
  <c r="L20" i="18"/>
  <c r="J60" i="19"/>
  <c r="J48" i="19"/>
  <c r="J36" i="19"/>
  <c r="O57" i="19"/>
  <c r="B57" i="17" s="1"/>
  <c r="O45" i="19"/>
  <c r="B45" i="17" s="1"/>
  <c r="H65" i="17"/>
  <c r="O55" i="19"/>
  <c r="B55" i="17" s="1"/>
  <c r="O43" i="19"/>
  <c r="B43" i="17" s="1"/>
  <c r="J56" i="19"/>
  <c r="J44" i="19"/>
  <c r="H63" i="17"/>
  <c r="O53" i="19"/>
  <c r="B53" i="17" s="1"/>
  <c r="O41" i="19"/>
  <c r="B41" i="17" s="1"/>
  <c r="J54" i="19"/>
  <c r="J42" i="19"/>
  <c r="H61" i="17"/>
  <c r="J52" i="19"/>
  <c r="J40" i="19"/>
  <c r="N48" i="16"/>
  <c r="M61" i="16"/>
  <c r="O62" i="16" s="1"/>
  <c r="M49" i="16"/>
  <c r="O50" i="16" s="1"/>
  <c r="M37" i="16"/>
  <c r="O38" i="16" s="1"/>
  <c r="C61" i="16"/>
  <c r="L59" i="19"/>
  <c r="D61" i="16" s="1"/>
  <c r="C65" i="16"/>
  <c r="L63" i="19"/>
  <c r="D65" i="16" s="1"/>
  <c r="C52" i="18"/>
  <c r="C56" i="18"/>
  <c r="D64" i="18"/>
  <c r="G64" i="18" s="1"/>
  <c r="K61" i="19" s="1"/>
  <c r="D40" i="18"/>
  <c r="G40" i="18" s="1"/>
  <c r="K37" i="19" s="1"/>
  <c r="B52" i="16"/>
  <c r="C48" i="18"/>
  <c r="B44" i="16"/>
  <c r="D56" i="18"/>
  <c r="G56" i="18" s="1"/>
  <c r="K53" i="19" s="1"/>
  <c r="D68" i="18"/>
  <c r="G68" i="18" s="1"/>
  <c r="K65" i="19" s="1"/>
  <c r="C67" i="16" s="1"/>
  <c r="C46" i="18"/>
  <c r="D54" i="18"/>
  <c r="G54" i="18" s="1"/>
  <c r="K51" i="19" s="1"/>
  <c r="B66" i="16"/>
  <c r="B42" i="16"/>
  <c r="A53" i="16"/>
  <c r="B64" i="16"/>
  <c r="B40" i="16"/>
  <c r="D60" i="18"/>
  <c r="G60" i="18" s="1"/>
  <c r="K57" i="19" s="1"/>
  <c r="D58" i="18"/>
  <c r="G58" i="18" s="1"/>
  <c r="K55" i="19" s="1"/>
  <c r="C42" i="18"/>
  <c r="D50" i="18"/>
  <c r="G50" i="18" s="1"/>
  <c r="K47" i="19" s="1"/>
  <c r="B62" i="16"/>
  <c r="B38" i="16"/>
  <c r="B50" i="16"/>
  <c r="B46" i="16"/>
  <c r="C44" i="18"/>
  <c r="C66" i="18"/>
  <c r="C64" i="18"/>
  <c r="C40" i="18"/>
  <c r="D48" i="18"/>
  <c r="G48" i="18" s="1"/>
  <c r="K45" i="19" s="1"/>
  <c r="B60" i="16"/>
  <c r="B36" i="16"/>
  <c r="C50" i="18"/>
  <c r="A51" i="19"/>
  <c r="B58" i="16"/>
  <c r="B48" i="16"/>
  <c r="C38" i="18"/>
  <c r="C60" i="18"/>
  <c r="D44" i="18"/>
  <c r="G44" i="18" s="1"/>
  <c r="K41" i="19" s="1"/>
  <c r="B56" i="16"/>
  <c r="D52" i="18"/>
  <c r="G52" i="18" s="1"/>
  <c r="K49" i="19" s="1"/>
  <c r="C62" i="18"/>
  <c r="D46" i="18"/>
  <c r="G46" i="18" s="1"/>
  <c r="K43" i="19" s="1"/>
  <c r="C58" i="18"/>
  <c r="D42" i="18"/>
  <c r="G42" i="18" s="1"/>
  <c r="K39" i="19" s="1"/>
  <c r="B54" i="16"/>
  <c r="C37" i="16" l="1"/>
  <c r="O60" i="16"/>
  <c r="O48" i="16"/>
  <c r="J25" i="18"/>
  <c r="L22" i="18"/>
  <c r="A59" i="17"/>
  <c r="A61" i="16"/>
  <c r="A59" i="19"/>
  <c r="C39" i="16"/>
  <c r="L37" i="19"/>
  <c r="D39" i="16" s="1"/>
  <c r="L55" i="19"/>
  <c r="D57" i="16" s="1"/>
  <c r="C57" i="16"/>
  <c r="L41" i="19"/>
  <c r="D43" i="16" s="1"/>
  <c r="C43" i="16"/>
  <c r="A63" i="19"/>
  <c r="A63" i="17"/>
  <c r="A65" i="16"/>
  <c r="A53" i="17"/>
  <c r="A55" i="16"/>
  <c r="A53" i="19"/>
  <c r="L57" i="19"/>
  <c r="D59" i="16" s="1"/>
  <c r="C59" i="16"/>
  <c r="A49" i="17"/>
  <c r="A51" i="16"/>
  <c r="A49" i="19"/>
  <c r="L49" i="19"/>
  <c r="D51" i="16" s="1"/>
  <c r="C51" i="16"/>
  <c r="A61" i="19"/>
  <c r="A63" i="16"/>
  <c r="A61" i="17"/>
  <c r="C63" i="16"/>
  <c r="L61" i="19"/>
  <c r="D63" i="16" s="1"/>
  <c r="A59" i="16"/>
  <c r="A57" i="19"/>
  <c r="A57" i="17"/>
  <c r="A43" i="16"/>
  <c r="A41" i="17"/>
  <c r="A41" i="19"/>
  <c r="A35" i="19"/>
  <c r="A35" i="17"/>
  <c r="A37" i="16"/>
  <c r="L45" i="19"/>
  <c r="D47" i="16" s="1"/>
  <c r="C47" i="16"/>
  <c r="A47" i="16"/>
  <c r="A45" i="17"/>
  <c r="A45" i="19"/>
  <c r="A37" i="19"/>
  <c r="A39" i="16"/>
  <c r="A37" i="17"/>
  <c r="L51" i="19"/>
  <c r="D53" i="16" s="1"/>
  <c r="C53" i="16"/>
  <c r="A45" i="16"/>
  <c r="A43" i="17"/>
  <c r="A43" i="19"/>
  <c r="L47" i="19"/>
  <c r="D49" i="16" s="1"/>
  <c r="C49" i="16"/>
  <c r="L65" i="19"/>
  <c r="D67" i="16" s="1"/>
  <c r="L39" i="19"/>
  <c r="D41" i="16" s="1"/>
  <c r="C41" i="16"/>
  <c r="A55" i="19"/>
  <c r="A57" i="16"/>
  <c r="A55" i="17"/>
  <c r="L53" i="19"/>
  <c r="D55" i="16" s="1"/>
  <c r="C55" i="16"/>
  <c r="A47" i="19"/>
  <c r="A49" i="16"/>
  <c r="A47" i="17"/>
  <c r="A39" i="19"/>
  <c r="A39" i="17"/>
  <c r="A41" i="16"/>
  <c r="L43" i="19"/>
  <c r="D45" i="16" s="1"/>
  <c r="C45" i="16"/>
  <c r="C68" i="18"/>
  <c r="B10" i="16"/>
  <c r="J27" i="18" l="1"/>
  <c r="L24" i="18"/>
  <c r="A65" i="19"/>
  <c r="A65" i="17"/>
  <c r="B12" i="16"/>
  <c r="H7" i="19"/>
  <c r="H9" i="19"/>
  <c r="H11" i="19"/>
  <c r="H13" i="19"/>
  <c r="H15" i="19"/>
  <c r="G5" i="19"/>
  <c r="G7" i="19"/>
  <c r="G9" i="19"/>
  <c r="G11" i="19"/>
  <c r="G13" i="19"/>
  <c r="P13" i="19" s="1"/>
  <c r="G15" i="19"/>
  <c r="P11" i="19" l="1"/>
  <c r="J8" i="19"/>
  <c r="J6" i="19"/>
  <c r="P9" i="19"/>
  <c r="O15" i="19"/>
  <c r="P15" i="19"/>
  <c r="K7" i="19"/>
  <c r="C9" i="16" s="1"/>
  <c r="I8" i="19"/>
  <c r="P7" i="19"/>
  <c r="K5" i="19"/>
  <c r="L5" i="19" s="1"/>
  <c r="D7" i="16" s="1"/>
  <c r="I6" i="19"/>
  <c r="H5" i="17"/>
  <c r="P5" i="19"/>
  <c r="O5" i="19"/>
  <c r="J29" i="18"/>
  <c r="L26" i="18"/>
  <c r="B14" i="16"/>
  <c r="J14" i="19"/>
  <c r="I10" i="19"/>
  <c r="O7" i="19"/>
  <c r="I14" i="19"/>
  <c r="I12" i="19"/>
  <c r="J12" i="19"/>
  <c r="O13" i="19"/>
  <c r="J10" i="19"/>
  <c r="O11" i="19"/>
  <c r="O9" i="19"/>
  <c r="B5" i="17" l="1"/>
  <c r="J31" i="18"/>
  <c r="L28" i="18"/>
  <c r="B16" i="16"/>
  <c r="J33" i="18" l="1"/>
  <c r="L30" i="18"/>
  <c r="B18" i="16"/>
  <c r="L19" i="16"/>
  <c r="L17" i="16"/>
  <c r="L15" i="16"/>
  <c r="L11" i="16"/>
  <c r="D20" i="18"/>
  <c r="G20" i="18" s="1"/>
  <c r="C20" i="18"/>
  <c r="A17" i="17" s="1"/>
  <c r="D18" i="18"/>
  <c r="G18" i="18" s="1"/>
  <c r="K15" i="19" s="1"/>
  <c r="C18" i="18"/>
  <c r="A15" i="17" s="1"/>
  <c r="D16" i="18"/>
  <c r="G16" i="18" s="1"/>
  <c r="K13" i="19" s="1"/>
  <c r="C16" i="18"/>
  <c r="D14" i="18"/>
  <c r="G14" i="18" s="1"/>
  <c r="K11" i="19" s="1"/>
  <c r="C14" i="18"/>
  <c r="D12" i="18"/>
  <c r="G12" i="18" s="1"/>
  <c r="K9" i="19" s="1"/>
  <c r="C12" i="18"/>
  <c r="D10" i="18"/>
  <c r="G10" i="18" s="1"/>
  <c r="C10" i="18"/>
  <c r="D8" i="18"/>
  <c r="C8" i="18"/>
  <c r="L33" i="16"/>
  <c r="L31" i="16"/>
  <c r="L29" i="16"/>
  <c r="L27" i="16"/>
  <c r="N28" i="16" s="1"/>
  <c r="L25" i="16"/>
  <c r="L23" i="16"/>
  <c r="L13" i="16"/>
  <c r="L7" i="16"/>
  <c r="L9" i="16"/>
  <c r="L21" i="16"/>
  <c r="M35" i="16"/>
  <c r="O36" i="16" s="1"/>
  <c r="M31" i="16"/>
  <c r="M29" i="16"/>
  <c r="O30" i="16" s="1"/>
  <c r="M27" i="16"/>
  <c r="O28" i="16" s="1"/>
  <c r="M25" i="16"/>
  <c r="O26" i="16" s="1"/>
  <c r="M21" i="16"/>
  <c r="M23" i="16"/>
  <c r="B25" i="15"/>
  <c r="H33" i="19"/>
  <c r="H31" i="19"/>
  <c r="G31" i="19"/>
  <c r="H29" i="19"/>
  <c r="G29" i="19"/>
  <c r="H27" i="19"/>
  <c r="G27" i="19"/>
  <c r="H25" i="19"/>
  <c r="G25" i="19"/>
  <c r="P25" i="19" s="1"/>
  <c r="B9" i="17"/>
  <c r="B11" i="17"/>
  <c r="G17" i="19"/>
  <c r="G19" i="19"/>
  <c r="P19" i="19" s="1"/>
  <c r="G21" i="19"/>
  <c r="G23" i="19"/>
  <c r="B26" i="15"/>
  <c r="C24" i="15"/>
  <c r="H23" i="19"/>
  <c r="H21" i="19"/>
  <c r="H19" i="19"/>
  <c r="H17" i="19"/>
  <c r="H15" i="17"/>
  <c r="H11" i="17"/>
  <c r="B4" i="16"/>
  <c r="C26" i="15"/>
  <c r="H13" i="17"/>
  <c r="B15" i="17"/>
  <c r="B13" i="17"/>
  <c r="J34" i="19" l="1"/>
  <c r="P33" i="19"/>
  <c r="P17" i="19"/>
  <c r="P31" i="19"/>
  <c r="O23" i="19"/>
  <c r="B23" i="17" s="1"/>
  <c r="P23" i="19"/>
  <c r="O21" i="19"/>
  <c r="B21" i="17" s="1"/>
  <c r="P21" i="19"/>
  <c r="O29" i="19"/>
  <c r="B29" i="17" s="1"/>
  <c r="P29" i="19"/>
  <c r="O27" i="19"/>
  <c r="B27" i="17" s="1"/>
  <c r="P27" i="19"/>
  <c r="O24" i="16"/>
  <c r="O22" i="16"/>
  <c r="J35" i="18"/>
  <c r="L32" i="18"/>
  <c r="M33" i="16"/>
  <c r="O34" i="16" s="1"/>
  <c r="M15" i="16"/>
  <c r="O16" i="16" s="1"/>
  <c r="M7" i="16"/>
  <c r="N30" i="16"/>
  <c r="A9" i="17"/>
  <c r="A9" i="19"/>
  <c r="M9" i="19" s="1"/>
  <c r="A11" i="16"/>
  <c r="A7" i="17"/>
  <c r="A9" i="16"/>
  <c r="A7" i="19"/>
  <c r="M7" i="19" s="1"/>
  <c r="A11" i="17"/>
  <c r="A13" i="16"/>
  <c r="A11" i="19"/>
  <c r="M11" i="19" s="1"/>
  <c r="A13" i="17"/>
  <c r="A15" i="16"/>
  <c r="A13" i="19"/>
  <c r="M13" i="19" s="1"/>
  <c r="A15" i="19"/>
  <c r="M15" i="19" s="1"/>
  <c r="A17" i="16"/>
  <c r="A5" i="17"/>
  <c r="A5" i="19"/>
  <c r="A7" i="16"/>
  <c r="A17" i="19"/>
  <c r="M17" i="19" s="1"/>
  <c r="A19" i="16"/>
  <c r="B20" i="16"/>
  <c r="I32" i="19"/>
  <c r="N18" i="16"/>
  <c r="N16" i="16"/>
  <c r="L13" i="19"/>
  <c r="D15" i="16" s="1"/>
  <c r="N26" i="16"/>
  <c r="M11" i="16"/>
  <c r="O12" i="16" s="1"/>
  <c r="L9" i="19"/>
  <c r="D11" i="16" s="1"/>
  <c r="M17" i="16"/>
  <c r="L15" i="19"/>
  <c r="D17" i="16" s="1"/>
  <c r="M13" i="16"/>
  <c r="L11" i="19"/>
  <c r="M9" i="16"/>
  <c r="L7" i="19"/>
  <c r="N24" i="16"/>
  <c r="I16" i="19"/>
  <c r="J16" i="19"/>
  <c r="J32" i="19"/>
  <c r="N32" i="16"/>
  <c r="N12" i="16"/>
  <c r="N10" i="16"/>
  <c r="N22" i="16"/>
  <c r="N20" i="16"/>
  <c r="H25" i="17"/>
  <c r="J26" i="19"/>
  <c r="O33" i="19"/>
  <c r="B33" i="17" s="1"/>
  <c r="H33" i="17"/>
  <c r="M19" i="16"/>
  <c r="O20" i="16" s="1"/>
  <c r="N14" i="16"/>
  <c r="N34" i="16"/>
  <c r="H23" i="17"/>
  <c r="H17" i="17"/>
  <c r="C15" i="16"/>
  <c r="C11" i="16"/>
  <c r="H9" i="17"/>
  <c r="B7" i="17"/>
  <c r="H7" i="17"/>
  <c r="C17" i="16"/>
  <c r="H19" i="17"/>
  <c r="O25" i="19"/>
  <c r="B25" i="17" s="1"/>
  <c r="J24" i="19"/>
  <c r="O17" i="19"/>
  <c r="O19" i="19"/>
  <c r="B19" i="17" s="1"/>
  <c r="O31" i="19"/>
  <c r="B31" i="17" s="1"/>
  <c r="I24" i="19"/>
  <c r="I22" i="19"/>
  <c r="H21" i="17"/>
  <c r="J28" i="19"/>
  <c r="I28" i="19"/>
  <c r="J20" i="19"/>
  <c r="H29" i="17"/>
  <c r="J30" i="19"/>
  <c r="J22" i="19"/>
  <c r="J18" i="19"/>
  <c r="H31" i="17"/>
  <c r="I30" i="19"/>
  <c r="I26" i="19"/>
  <c r="H27" i="17"/>
  <c r="K17" i="19"/>
  <c r="I18" i="19"/>
  <c r="I20" i="19"/>
  <c r="D5" i="28" l="1" a="1"/>
  <c r="O8" i="16"/>
  <c r="O10" i="16"/>
  <c r="O14" i="16"/>
  <c r="O32" i="16"/>
  <c r="O18" i="16"/>
  <c r="J37" i="18"/>
  <c r="L34" i="18"/>
  <c r="B17" i="17"/>
  <c r="C18" i="27" a="1"/>
  <c r="C18" i="27" s="1"/>
  <c r="B22" i="16"/>
  <c r="D22" i="18"/>
  <c r="G22" i="18" s="1"/>
  <c r="K19" i="19" s="1"/>
  <c r="L19" i="19" s="1"/>
  <c r="C22" i="18"/>
  <c r="C24" i="18"/>
  <c r="I11" i="18"/>
  <c r="C7" i="16"/>
  <c r="C13" i="16"/>
  <c r="L17" i="19"/>
  <c r="C19" i="16"/>
  <c r="D9" i="16"/>
  <c r="O13" i="28" l="1" a="1"/>
  <c r="O13" i="28" s="1"/>
  <c r="O21" i="28" s="1"/>
  <c r="D5" i="28"/>
  <c r="O6" i="28" s="1" a="1"/>
  <c r="O6" i="28" s="1"/>
  <c r="N21" i="28" s="1"/>
  <c r="J39" i="18"/>
  <c r="L36" i="18"/>
  <c r="C21" i="16"/>
  <c r="A21" i="17"/>
  <c r="A21" i="19"/>
  <c r="A23" i="16"/>
  <c r="A19" i="19"/>
  <c r="A21" i="16"/>
  <c r="A19" i="17"/>
  <c r="C26" i="18"/>
  <c r="B24" i="16"/>
  <c r="D24" i="18"/>
  <c r="G24" i="18" s="1"/>
  <c r="K21" i="19" s="1"/>
  <c r="I13" i="18"/>
  <c r="D21" i="16"/>
  <c r="D13" i="16"/>
  <c r="D19" i="16"/>
  <c r="N24" i="28" l="1"/>
  <c r="E28" i="28"/>
  <c r="E13" i="28"/>
  <c r="E30" i="28"/>
  <c r="E12" i="28"/>
  <c r="E31" i="28"/>
  <c r="E35" i="28" s="1"/>
  <c r="G35" i="28" s="1"/>
  <c r="E7" i="28"/>
  <c r="E9" i="28"/>
  <c r="G9" i="28" s="1"/>
  <c r="E23" i="28"/>
  <c r="G23" i="28" s="1"/>
  <c r="E27" i="28"/>
  <c r="E24" i="28"/>
  <c r="E10" i="28"/>
  <c r="E25" i="28"/>
  <c r="E6" i="28"/>
  <c r="E15" i="28"/>
  <c r="E29" i="28"/>
  <c r="G29" i="28" s="1"/>
  <c r="E20" i="28"/>
  <c r="G20" i="28" s="1"/>
  <c r="E14" i="28"/>
  <c r="E8" i="28"/>
  <c r="E18" i="28"/>
  <c r="E22" i="28"/>
  <c r="E16" i="28"/>
  <c r="E19" i="28"/>
  <c r="G19" i="28" s="1"/>
  <c r="E17" i="28"/>
  <c r="G17" i="28" s="1"/>
  <c r="E21" i="28"/>
  <c r="G21" i="28" s="1"/>
  <c r="E11" i="28"/>
  <c r="E26" i="28"/>
  <c r="E5" i="28"/>
  <c r="O24" i="28"/>
  <c r="E37" i="28"/>
  <c r="G37" i="28" s="1"/>
  <c r="E36" i="28"/>
  <c r="G36" i="28" s="1"/>
  <c r="E33" i="28"/>
  <c r="G33" i="28" s="1"/>
  <c r="J41" i="18"/>
  <c r="L38" i="18"/>
  <c r="K12" i="18"/>
  <c r="A23" i="17"/>
  <c r="A25" i="16"/>
  <c r="A23" i="19"/>
  <c r="B26" i="16"/>
  <c r="C28" i="18"/>
  <c r="D26" i="18"/>
  <c r="G26" i="18" s="1"/>
  <c r="K23" i="19" s="1"/>
  <c r="C23" i="16"/>
  <c r="L21" i="19"/>
  <c r="D23" i="16" s="1"/>
  <c r="N7" i="19"/>
  <c r="Q7" i="17"/>
  <c r="I15" i="18"/>
  <c r="G15" i="28" l="1"/>
  <c r="G7" i="28"/>
  <c r="G16" i="28"/>
  <c r="G6" i="28"/>
  <c r="G31" i="28"/>
  <c r="E32" i="28"/>
  <c r="G32" i="28" s="1"/>
  <c r="G22" i="28"/>
  <c r="G25" i="28"/>
  <c r="G12" i="28"/>
  <c r="E39" i="28"/>
  <c r="G39" i="28" s="1"/>
  <c r="F5" i="28"/>
  <c r="G5" i="28"/>
  <c r="G18" i="28"/>
  <c r="G10" i="28"/>
  <c r="G30" i="28"/>
  <c r="E34" i="28"/>
  <c r="G34" i="28" s="1"/>
  <c r="G26" i="28"/>
  <c r="G8" i="28"/>
  <c r="G24" i="28"/>
  <c r="G13" i="28"/>
  <c r="E38" i="28"/>
  <c r="G38" i="28" s="1"/>
  <c r="G11" i="28"/>
  <c r="G14" i="28"/>
  <c r="G27" i="28"/>
  <c r="G28" i="28"/>
  <c r="J43" i="18"/>
  <c r="L40" i="18"/>
  <c r="K14" i="18"/>
  <c r="A18" i="27" a="1"/>
  <c r="A18" i="27" s="1"/>
  <c r="C25" i="16"/>
  <c r="L23" i="19"/>
  <c r="D25" i="16" s="1"/>
  <c r="A25" i="17"/>
  <c r="A27" i="16"/>
  <c r="A25" i="19"/>
  <c r="B28" i="16"/>
  <c r="C30" i="18"/>
  <c r="D28" i="18"/>
  <c r="G28" i="18" s="1"/>
  <c r="K25" i="19" s="1"/>
  <c r="I17" i="18"/>
  <c r="N9" i="19"/>
  <c r="Q9" i="17"/>
  <c r="J45" i="18" l="1"/>
  <c r="L42" i="18"/>
  <c r="K16" i="18"/>
  <c r="L25" i="19"/>
  <c r="D27" i="16" s="1"/>
  <c r="C27" i="16"/>
  <c r="C32" i="18"/>
  <c r="B30" i="16"/>
  <c r="D30" i="18"/>
  <c r="G30" i="18" s="1"/>
  <c r="K27" i="19" s="1"/>
  <c r="A29" i="16"/>
  <c r="A27" i="19"/>
  <c r="A27" i="17"/>
  <c r="I19" i="18"/>
  <c r="N11" i="19"/>
  <c r="Q11" i="17"/>
  <c r="J47" i="18" l="1"/>
  <c r="L44" i="18"/>
  <c r="K18" i="18"/>
  <c r="A31" i="16"/>
  <c r="A29" i="19"/>
  <c r="A29" i="17"/>
  <c r="L27" i="19"/>
  <c r="D29" i="16" s="1"/>
  <c r="C29" i="16"/>
  <c r="C34" i="18"/>
  <c r="B32" i="16"/>
  <c r="D32" i="18"/>
  <c r="G32" i="18" s="1"/>
  <c r="K29" i="19" s="1"/>
  <c r="I21" i="18"/>
  <c r="N13" i="19"/>
  <c r="Q13" i="17"/>
  <c r="J49" i="18" l="1"/>
  <c r="L46" i="18"/>
  <c r="K20" i="18"/>
  <c r="A31" i="17"/>
  <c r="A31" i="19"/>
  <c r="A33" i="16"/>
  <c r="B34" i="16"/>
  <c r="D36" i="18"/>
  <c r="G36" i="18" s="1"/>
  <c r="K33" i="19" s="1"/>
  <c r="C35" i="16" s="1"/>
  <c r="D34" i="18"/>
  <c r="G34" i="18" s="1"/>
  <c r="K31" i="19" s="1"/>
  <c r="L29" i="19"/>
  <c r="D31" i="16" s="1"/>
  <c r="C31" i="16"/>
  <c r="I23" i="18"/>
  <c r="N15" i="19"/>
  <c r="Q15" i="17"/>
  <c r="J51" i="18" l="1"/>
  <c r="L48" i="18"/>
  <c r="K22" i="18"/>
  <c r="L33" i="19"/>
  <c r="C33" i="16"/>
  <c r="L31" i="19"/>
  <c r="D33" i="16" s="1"/>
  <c r="C36" i="18"/>
  <c r="A35" i="16" s="1"/>
  <c r="I25" i="18"/>
  <c r="N17" i="19"/>
  <c r="Q17" i="17"/>
  <c r="J53" i="18" l="1"/>
  <c r="L50" i="18"/>
  <c r="K24" i="18"/>
  <c r="D35" i="16"/>
  <c r="A33" i="17"/>
  <c r="AE37" i="17" s="1"/>
  <c r="AG37" i="17" s="1"/>
  <c r="A33" i="19"/>
  <c r="I27" i="18"/>
  <c r="Q19" i="17"/>
  <c r="N19" i="19"/>
  <c r="J55" i="18" l="1"/>
  <c r="L52" i="18"/>
  <c r="K26" i="18"/>
  <c r="I29" i="18"/>
  <c r="N21" i="19"/>
  <c r="Q21" i="17"/>
  <c r="J57" i="18" l="1"/>
  <c r="L54" i="18"/>
  <c r="K28" i="18"/>
  <c r="Q23" i="17"/>
  <c r="N23" i="19"/>
  <c r="I31" i="18"/>
  <c r="J59" i="18" l="1"/>
  <c r="L56" i="18"/>
  <c r="B18" i="27" a="1"/>
  <c r="B18" i="27" s="1"/>
  <c r="B11" i="27" s="1"/>
  <c r="B18" i="35" a="1"/>
  <c r="B18" i="35" s="1"/>
  <c r="E8" i="32"/>
  <c r="F7" i="28"/>
  <c r="E7" i="32"/>
  <c r="K30" i="18"/>
  <c r="E4" i="32"/>
  <c r="I33" i="18"/>
  <c r="N25" i="19"/>
  <c r="Q25" i="17"/>
  <c r="J61" i="18" l="1"/>
  <c r="L58" i="18"/>
  <c r="G3" i="27" a="1"/>
  <c r="G3" i="27" s="1"/>
  <c r="B10" i="27"/>
  <c r="G3" i="35" a="1"/>
  <c r="B10" i="35"/>
  <c r="B13" i="35" s="1"/>
  <c r="B11" i="35"/>
  <c r="E5" i="32"/>
  <c r="F6" i="28"/>
  <c r="E34" i="32"/>
  <c r="E33" i="32"/>
  <c r="F33" i="28"/>
  <c r="E31" i="32"/>
  <c r="F8" i="28"/>
  <c r="K32" i="18"/>
  <c r="E6" i="32"/>
  <c r="F27" i="28"/>
  <c r="E26" i="32"/>
  <c r="E19" i="32"/>
  <c r="F20" i="28"/>
  <c r="F24" i="28"/>
  <c r="E23" i="32"/>
  <c r="F30" i="28"/>
  <c r="E29" i="32"/>
  <c r="E27" i="32"/>
  <c r="F28" i="28"/>
  <c r="F22" i="28"/>
  <c r="E21" i="32"/>
  <c r="F25" i="28"/>
  <c r="E24" i="32"/>
  <c r="E22" i="32"/>
  <c r="F23" i="28"/>
  <c r="F9" i="28"/>
  <c r="F26" i="28"/>
  <c r="E25" i="32"/>
  <c r="E20" i="32"/>
  <c r="F21" i="28"/>
  <c r="E30" i="32"/>
  <c r="F31" i="28"/>
  <c r="E28" i="32"/>
  <c r="F29" i="28"/>
  <c r="F11" i="28"/>
  <c r="E10" i="32"/>
  <c r="E13" i="32"/>
  <c r="F14" i="28"/>
  <c r="F15" i="28"/>
  <c r="E14" i="32"/>
  <c r="F13" i="28"/>
  <c r="E12" i="32"/>
  <c r="F12" i="28"/>
  <c r="E11" i="32"/>
  <c r="E9" i="32"/>
  <c r="F10" i="28"/>
  <c r="I35" i="18"/>
  <c r="N27" i="19"/>
  <c r="Q27" i="17"/>
  <c r="B13" i="27" l="1"/>
  <c r="C69" i="17" s="1"/>
  <c r="C55" i="17"/>
  <c r="F55" i="17" s="1"/>
  <c r="C67" i="17"/>
  <c r="C5" i="17"/>
  <c r="F5" i="17" s="1"/>
  <c r="C35" i="17"/>
  <c r="I36" i="17" s="1"/>
  <c r="C57" i="17"/>
  <c r="I56" i="17" s="1"/>
  <c r="J63" i="18"/>
  <c r="L60" i="18"/>
  <c r="C37" i="17"/>
  <c r="E37" i="17" s="1"/>
  <c r="C10" i="27"/>
  <c r="C11" i="27"/>
  <c r="G3" i="35"/>
  <c r="C13" i="35"/>
  <c r="O6" i="16" s="1"/>
  <c r="C11" i="35"/>
  <c r="F35" i="28"/>
  <c r="F34" i="28"/>
  <c r="E32" i="32"/>
  <c r="E38" i="32"/>
  <c r="F39" i="28"/>
  <c r="E37" i="32"/>
  <c r="F38" i="28"/>
  <c r="F32" i="28"/>
  <c r="E35" i="32"/>
  <c r="F36" i="28"/>
  <c r="E36" i="32"/>
  <c r="F37" i="28"/>
  <c r="E67" i="17"/>
  <c r="K34" i="18"/>
  <c r="E55" i="17"/>
  <c r="F17" i="28"/>
  <c r="E16" i="32"/>
  <c r="E15" i="32"/>
  <c r="F16" i="28"/>
  <c r="F19" i="28"/>
  <c r="E18" i="32"/>
  <c r="F18" i="28"/>
  <c r="E17" i="32"/>
  <c r="I37" i="18"/>
  <c r="Q29" i="17"/>
  <c r="N29" i="19"/>
  <c r="F69" i="17" l="1"/>
  <c r="E69" i="17"/>
  <c r="F57" i="17"/>
  <c r="I68" i="17"/>
  <c r="E57" i="17"/>
  <c r="E35" i="17"/>
  <c r="F67" i="17"/>
  <c r="C13" i="27"/>
  <c r="J4" i="19" s="1"/>
  <c r="I4" i="19"/>
  <c r="C65" i="17"/>
  <c r="C61" i="17"/>
  <c r="C27" i="17"/>
  <c r="C47" i="17"/>
  <c r="C51" i="17"/>
  <c r="C7" i="17"/>
  <c r="C43" i="17"/>
  <c r="C25" i="17"/>
  <c r="C13" i="17"/>
  <c r="C39" i="17"/>
  <c r="C23" i="17"/>
  <c r="C11" i="17"/>
  <c r="C53" i="17"/>
  <c r="C33" i="17"/>
  <c r="C29" i="17"/>
  <c r="C73" i="17"/>
  <c r="C63" i="17"/>
  <c r="C17" i="17"/>
  <c r="C15" i="17"/>
  <c r="C71" i="17"/>
  <c r="C41" i="17"/>
  <c r="C49" i="17"/>
  <c r="C19" i="17"/>
  <c r="C9" i="17"/>
  <c r="C59" i="17"/>
  <c r="C45" i="17"/>
  <c r="C21" i="17"/>
  <c r="C31" i="17"/>
  <c r="E5" i="17"/>
  <c r="F37" i="17"/>
  <c r="I38" i="17"/>
  <c r="K37" i="17" s="1"/>
  <c r="M37" i="17" s="1"/>
  <c r="F35" i="17"/>
  <c r="J65" i="18"/>
  <c r="L62" i="18"/>
  <c r="K36" i="18"/>
  <c r="N33" i="19" s="1"/>
  <c r="I39" i="18"/>
  <c r="Q31" i="17"/>
  <c r="N31" i="19"/>
  <c r="G35" i="17" l="1"/>
  <c r="G29" i="17"/>
  <c r="G59" i="17"/>
  <c r="G19" i="17"/>
  <c r="G37" i="17"/>
  <c r="D37" i="17" s="1"/>
  <c r="G69" i="17"/>
  <c r="D69" i="17" s="1"/>
  <c r="G55" i="17"/>
  <c r="D55" i="17" s="1"/>
  <c r="D29" i="17"/>
  <c r="E63" i="17"/>
  <c r="F63" i="17"/>
  <c r="I64" i="17"/>
  <c r="E65" i="17"/>
  <c r="F65" i="17"/>
  <c r="I66" i="17"/>
  <c r="E73" i="17"/>
  <c r="I74" i="17"/>
  <c r="F73" i="17"/>
  <c r="D35" i="17"/>
  <c r="G61" i="17"/>
  <c r="F7" i="17"/>
  <c r="I8" i="17"/>
  <c r="E7" i="17"/>
  <c r="G31" i="17"/>
  <c r="G33" i="17"/>
  <c r="F41" i="17"/>
  <c r="E41" i="17"/>
  <c r="I42" i="17"/>
  <c r="F53" i="17"/>
  <c r="E53" i="17"/>
  <c r="I54" i="17"/>
  <c r="I52" i="17"/>
  <c r="F51" i="17"/>
  <c r="E51" i="17"/>
  <c r="G53" i="17"/>
  <c r="G47" i="17"/>
  <c r="F31" i="17"/>
  <c r="I32" i="17"/>
  <c r="E31" i="17"/>
  <c r="I72" i="17"/>
  <c r="I70" i="17"/>
  <c r="K69" i="17" s="1"/>
  <c r="M69" i="17" s="1"/>
  <c r="F71" i="17"/>
  <c r="E71" i="17"/>
  <c r="F11" i="17"/>
  <c r="I12" i="17"/>
  <c r="E11" i="17"/>
  <c r="F47" i="17"/>
  <c r="D47" i="17" s="1"/>
  <c r="E47" i="17"/>
  <c r="I48" i="17"/>
  <c r="I6" i="17"/>
  <c r="K5" i="17" s="1"/>
  <c r="G11" i="17"/>
  <c r="E21" i="17"/>
  <c r="F21" i="17"/>
  <c r="I22" i="17"/>
  <c r="K21" i="17" s="1"/>
  <c r="M21" i="17" s="1"/>
  <c r="I16" i="17"/>
  <c r="K15" i="17" s="1"/>
  <c r="O15" i="17" s="1"/>
  <c r="E15" i="17"/>
  <c r="F15" i="17"/>
  <c r="I24" i="17"/>
  <c r="E23" i="17"/>
  <c r="F23" i="17"/>
  <c r="F27" i="17"/>
  <c r="I28" i="17"/>
  <c r="E27" i="17"/>
  <c r="E59" i="17"/>
  <c r="I60" i="17"/>
  <c r="F59" i="17"/>
  <c r="I14" i="17"/>
  <c r="E13" i="17"/>
  <c r="F13" i="17"/>
  <c r="I10" i="17"/>
  <c r="K9" i="17" s="1"/>
  <c r="O9" i="17" s="1"/>
  <c r="F9" i="17"/>
  <c r="E9" i="17"/>
  <c r="E25" i="17"/>
  <c r="I26" i="17"/>
  <c r="K25" i="17" s="1"/>
  <c r="M25" i="17" s="1"/>
  <c r="F25" i="17"/>
  <c r="I20" i="17"/>
  <c r="F19" i="17"/>
  <c r="D19" i="17" s="1"/>
  <c r="E19" i="17"/>
  <c r="I30" i="17"/>
  <c r="F29" i="17"/>
  <c r="E29" i="17"/>
  <c r="E43" i="17"/>
  <c r="I44" i="17"/>
  <c r="F43" i="17"/>
  <c r="G45" i="17"/>
  <c r="E49" i="17"/>
  <c r="I50" i="17"/>
  <c r="F49" i="17"/>
  <c r="F33" i="17"/>
  <c r="E33" i="17"/>
  <c r="I34" i="17"/>
  <c r="G73" i="17"/>
  <c r="G63" i="17"/>
  <c r="D63" i="17" s="1"/>
  <c r="I46" i="17"/>
  <c r="K45" i="17" s="1"/>
  <c r="M45" i="17" s="1"/>
  <c r="E45" i="17"/>
  <c r="F45" i="17"/>
  <c r="F17" i="17"/>
  <c r="E17" i="17"/>
  <c r="I18" i="17"/>
  <c r="F39" i="17"/>
  <c r="E39" i="17"/>
  <c r="I40" i="17"/>
  <c r="K39" i="17" s="1"/>
  <c r="M39" i="17" s="1"/>
  <c r="I62" i="17"/>
  <c r="E61" i="17"/>
  <c r="F61" i="17"/>
  <c r="I58" i="17"/>
  <c r="K57" i="17" s="1"/>
  <c r="M57" i="17" s="1"/>
  <c r="G71" i="17"/>
  <c r="G5" i="17"/>
  <c r="D5" i="17" s="1"/>
  <c r="G9" i="17"/>
  <c r="G17" i="17"/>
  <c r="G27" i="17"/>
  <c r="G13" i="17"/>
  <c r="G67" i="17"/>
  <c r="D67" i="17" s="1"/>
  <c r="G41" i="17"/>
  <c r="D41" i="17" s="1"/>
  <c r="G51" i="17"/>
  <c r="G39" i="17"/>
  <c r="D39" i="17" s="1"/>
  <c r="G21" i="17"/>
  <c r="G7" i="17"/>
  <c r="G49" i="17"/>
  <c r="G23" i="17"/>
  <c r="G15" i="17"/>
  <c r="D15" i="17" s="1"/>
  <c r="G65" i="17"/>
  <c r="G25" i="17"/>
  <c r="D25" i="17" s="1"/>
  <c r="G43" i="17"/>
  <c r="G57" i="17"/>
  <c r="D57" i="17" s="1"/>
  <c r="J67" i="18"/>
  <c r="L64" i="18"/>
  <c r="K38" i="18"/>
  <c r="I41" i="18"/>
  <c r="Q35" i="17"/>
  <c r="N35" i="19"/>
  <c r="O37" i="17"/>
  <c r="Q33" i="17"/>
  <c r="M9" i="17" l="1"/>
  <c r="K43" i="17"/>
  <c r="M43" i="17" s="1"/>
  <c r="D65" i="17"/>
  <c r="J64" i="17" s="1"/>
  <c r="D59" i="17"/>
  <c r="J58" i="17" s="1"/>
  <c r="K71" i="17"/>
  <c r="M71" i="17" s="1"/>
  <c r="K49" i="17"/>
  <c r="M49" i="17" s="1"/>
  <c r="D17" i="17"/>
  <c r="J16" i="17" s="1"/>
  <c r="J56" i="17"/>
  <c r="L55" i="17" s="1"/>
  <c r="N55" i="17" s="1"/>
  <c r="J40" i="17"/>
  <c r="D73" i="17"/>
  <c r="K19" i="17"/>
  <c r="M19" i="17" s="1"/>
  <c r="D61" i="17"/>
  <c r="J62" i="17" s="1"/>
  <c r="J60" i="17"/>
  <c r="L61" i="17" s="1"/>
  <c r="D49" i="17"/>
  <c r="J48" i="17" s="1"/>
  <c r="L47" i="17" s="1"/>
  <c r="K61" i="17"/>
  <c r="M61" i="17" s="1"/>
  <c r="K27" i="17"/>
  <c r="M27" i="17" s="1"/>
  <c r="K31" i="17"/>
  <c r="K7" i="17"/>
  <c r="M7" i="17" s="1"/>
  <c r="D9" i="17"/>
  <c r="J10" i="17" s="1"/>
  <c r="D45" i="17"/>
  <c r="J46" i="17" s="1"/>
  <c r="O25" i="17"/>
  <c r="D51" i="17"/>
  <c r="D71" i="17"/>
  <c r="J70" i="17" s="1"/>
  <c r="J36" i="17"/>
  <c r="K67" i="17"/>
  <c r="M67" i="17" s="1"/>
  <c r="K65" i="17"/>
  <c r="M65" i="17" s="1"/>
  <c r="M15" i="17"/>
  <c r="K35" i="17"/>
  <c r="K33" i="17"/>
  <c r="K13" i="17"/>
  <c r="K41" i="17"/>
  <c r="M41" i="17" s="1"/>
  <c r="D23" i="17"/>
  <c r="J24" i="17" s="1"/>
  <c r="D11" i="17"/>
  <c r="D53" i="17"/>
  <c r="J54" i="17" s="1"/>
  <c r="K63" i="17"/>
  <c r="M63" i="17" s="1"/>
  <c r="D13" i="17"/>
  <c r="J14" i="17" s="1"/>
  <c r="K59" i="17"/>
  <c r="M59" i="17" s="1"/>
  <c r="K23" i="17"/>
  <c r="M5" i="17"/>
  <c r="O5" i="17"/>
  <c r="D7" i="17"/>
  <c r="J6" i="17" s="1"/>
  <c r="L5" i="17" s="1"/>
  <c r="D27" i="17"/>
  <c r="J28" i="17" s="1"/>
  <c r="K47" i="17"/>
  <c r="M47" i="17" s="1"/>
  <c r="D33" i="17"/>
  <c r="J34" i="17" s="1"/>
  <c r="K55" i="17"/>
  <c r="M55" i="17" s="1"/>
  <c r="K53" i="17"/>
  <c r="M53" i="17" s="1"/>
  <c r="O21" i="17"/>
  <c r="K11" i="17"/>
  <c r="K17" i="17"/>
  <c r="D43" i="17"/>
  <c r="D21" i="17"/>
  <c r="J20" i="17" s="1"/>
  <c r="K29" i="17"/>
  <c r="K51" i="17"/>
  <c r="M51" i="17" s="1"/>
  <c r="D31" i="17"/>
  <c r="K73" i="17"/>
  <c r="M73" i="17" s="1"/>
  <c r="J68" i="17"/>
  <c r="J38" i="17"/>
  <c r="J69" i="18"/>
  <c r="L66" i="18"/>
  <c r="K40" i="18"/>
  <c r="L63" i="17"/>
  <c r="I43" i="18"/>
  <c r="Q37" i="17"/>
  <c r="N37" i="19"/>
  <c r="L35" i="17" l="1"/>
  <c r="L57" i="17"/>
  <c r="N57" i="17" s="1"/>
  <c r="L37" i="17"/>
  <c r="N37" i="17" s="1"/>
  <c r="J44" i="17"/>
  <c r="L45" i="17" s="1"/>
  <c r="N45" i="17" s="1"/>
  <c r="J26" i="17"/>
  <c r="L27" i="17" s="1"/>
  <c r="N27" i="17" s="1"/>
  <c r="N61" i="17"/>
  <c r="N47" i="17"/>
  <c r="L17" i="17"/>
  <c r="J50" i="17"/>
  <c r="L69" i="17"/>
  <c r="N69" i="17" s="1"/>
  <c r="J74" i="17"/>
  <c r="J66" i="17"/>
  <c r="L65" i="17" s="1"/>
  <c r="N65" i="17" s="1"/>
  <c r="J18" i="17"/>
  <c r="L19" i="17" s="1"/>
  <c r="N19" i="17" s="1"/>
  <c r="O31" i="17"/>
  <c r="M31" i="17"/>
  <c r="O19" i="17"/>
  <c r="J22" i="17"/>
  <c r="L21" i="17" s="1"/>
  <c r="N21" i="17" s="1"/>
  <c r="O7" i="17"/>
  <c r="O27" i="17"/>
  <c r="J72" i="17"/>
  <c r="P5" i="17"/>
  <c r="J8" i="17"/>
  <c r="L9" i="17" s="1"/>
  <c r="P9" i="17" s="1"/>
  <c r="J32" i="17"/>
  <c r="L33" i="17" s="1"/>
  <c r="P33" i="17" s="1"/>
  <c r="J30" i="17"/>
  <c r="O11" i="17"/>
  <c r="M11" i="17"/>
  <c r="O29" i="17"/>
  <c r="M29" i="17"/>
  <c r="O23" i="17"/>
  <c r="M23" i="17"/>
  <c r="L15" i="17"/>
  <c r="N15" i="17" s="1"/>
  <c r="L49" i="17"/>
  <c r="N49" i="17" s="1"/>
  <c r="J12" i="17"/>
  <c r="J42" i="17"/>
  <c r="J52" i="17"/>
  <c r="M33" i="17"/>
  <c r="O33" i="17"/>
  <c r="M35" i="17"/>
  <c r="N35" i="17" s="1"/>
  <c r="O35" i="17"/>
  <c r="P35" i="17" s="1"/>
  <c r="N63" i="17"/>
  <c r="M17" i="17"/>
  <c r="O17" i="17"/>
  <c r="N5" i="17"/>
  <c r="M13" i="17"/>
  <c r="O13" i="17"/>
  <c r="L7" i="17"/>
  <c r="L59" i="17"/>
  <c r="N59" i="17" s="1"/>
  <c r="L39" i="17"/>
  <c r="N39" i="17" s="1"/>
  <c r="P37" i="17"/>
  <c r="J71" i="18"/>
  <c r="L68" i="18"/>
  <c r="K42" i="18"/>
  <c r="I45" i="18"/>
  <c r="O39" i="17"/>
  <c r="Q39" i="17"/>
  <c r="N39" i="19"/>
  <c r="L25" i="17" l="1"/>
  <c r="P25" i="17" s="1"/>
  <c r="L23" i="17"/>
  <c r="P17" i="17"/>
  <c r="P27" i="17"/>
  <c r="N17" i="17"/>
  <c r="N9" i="17"/>
  <c r="P21" i="17"/>
  <c r="P19" i="17"/>
  <c r="L67" i="17"/>
  <c r="N67" i="17" s="1"/>
  <c r="N25" i="17"/>
  <c r="L73" i="17"/>
  <c r="N73" i="17" s="1"/>
  <c r="L71" i="17"/>
  <c r="N71" i="17" s="1"/>
  <c r="L51" i="17"/>
  <c r="N51" i="17" s="1"/>
  <c r="L53" i="17"/>
  <c r="N53" i="17" s="1"/>
  <c r="P23" i="17"/>
  <c r="L41" i="17"/>
  <c r="N41" i="17" s="1"/>
  <c r="L43" i="17"/>
  <c r="N43" i="17" s="1"/>
  <c r="L11" i="17"/>
  <c r="P11" i="17" s="1"/>
  <c r="L13" i="17"/>
  <c r="N13" i="17" s="1"/>
  <c r="L31" i="17"/>
  <c r="L29" i="17"/>
  <c r="N29" i="17" s="1"/>
  <c r="N33" i="17"/>
  <c r="P15" i="17"/>
  <c r="P39" i="17"/>
  <c r="P7" i="17"/>
  <c r="N7" i="17"/>
  <c r="N23" i="17"/>
  <c r="J73" i="18"/>
  <c r="L70" i="18"/>
  <c r="K44" i="18"/>
  <c r="I47" i="18"/>
  <c r="O41" i="17"/>
  <c r="P41" i="17" s="1"/>
  <c r="Q41" i="17"/>
  <c r="N41" i="19"/>
  <c r="P13" i="17" l="1"/>
  <c r="P31" i="17"/>
  <c r="N31" i="17"/>
  <c r="N11" i="17"/>
  <c r="P29" i="17"/>
  <c r="J75" i="18"/>
  <c r="L72" i="18"/>
  <c r="K46" i="18"/>
  <c r="I49" i="18"/>
  <c r="O43" i="17"/>
  <c r="P43" i="17" s="1"/>
  <c r="Q43" i="17"/>
  <c r="AE14" i="17" s="1"/>
  <c r="AG14" i="17" s="1"/>
  <c r="N43" i="19"/>
  <c r="J77" i="18" l="1"/>
  <c r="L74" i="18"/>
  <c r="K48" i="18"/>
  <c r="I51" i="18"/>
  <c r="O45" i="17"/>
  <c r="P45" i="17" s="1"/>
  <c r="N45" i="19"/>
  <c r="Q45" i="17"/>
  <c r="J79" i="18" l="1"/>
  <c r="L76" i="18"/>
  <c r="K50" i="18"/>
  <c r="I53" i="18"/>
  <c r="O47" i="17"/>
  <c r="P47" i="17" s="1"/>
  <c r="Q47" i="17"/>
  <c r="N47" i="19"/>
  <c r="J81" i="18" l="1"/>
  <c r="L78" i="18"/>
  <c r="K52" i="18"/>
  <c r="I55" i="18"/>
  <c r="O49" i="17"/>
  <c r="P49" i="17" s="1"/>
  <c r="Q49" i="17"/>
  <c r="N49" i="19"/>
  <c r="J83" i="18" l="1"/>
  <c r="L80" i="18"/>
  <c r="K54" i="18"/>
  <c r="I57" i="18"/>
  <c r="O51" i="17"/>
  <c r="P51" i="17" s="1"/>
  <c r="Q51" i="17"/>
  <c r="N51" i="19"/>
  <c r="J85" i="18" l="1"/>
  <c r="L82" i="18"/>
  <c r="K56" i="18"/>
  <c r="I59" i="18"/>
  <c r="O53" i="17"/>
  <c r="P53" i="17" s="1"/>
  <c r="Q53" i="17"/>
  <c r="N53" i="19"/>
  <c r="J87" i="18" l="1"/>
  <c r="L84" i="18"/>
  <c r="K58" i="18"/>
  <c r="I61" i="18"/>
  <c r="O55" i="17"/>
  <c r="P55" i="17" s="1"/>
  <c r="N55" i="19"/>
  <c r="Q55" i="17"/>
  <c r="J89" i="18" l="1"/>
  <c r="L86" i="18"/>
  <c r="K60" i="18"/>
  <c r="I63" i="18"/>
  <c r="O57" i="17"/>
  <c r="P57" i="17" s="1"/>
  <c r="N57" i="19"/>
  <c r="Q57" i="17"/>
  <c r="J91" i="18" l="1"/>
  <c r="L88" i="18"/>
  <c r="K62" i="18"/>
  <c r="I65" i="18"/>
  <c r="O59" i="17"/>
  <c r="P59" i="17" s="1"/>
  <c r="Q59" i="17"/>
  <c r="N59" i="19"/>
  <c r="J93" i="18" l="1"/>
  <c r="L90" i="18"/>
  <c r="K64" i="18"/>
  <c r="I67" i="18"/>
  <c r="O61" i="17"/>
  <c r="P61" i="17" s="1"/>
  <c r="Q61" i="17"/>
  <c r="N61" i="19"/>
  <c r="J95" i="18" l="1"/>
  <c r="L92" i="18"/>
  <c r="K66" i="18"/>
  <c r="I69" i="18"/>
  <c r="O63" i="17"/>
  <c r="P63" i="17" s="1"/>
  <c r="Q63" i="17"/>
  <c r="N63" i="19"/>
  <c r="J97" i="18" l="1"/>
  <c r="L94" i="18"/>
  <c r="K68" i="18"/>
  <c r="I71" i="18"/>
  <c r="O65" i="17"/>
  <c r="P65" i="17" s="1"/>
  <c r="N65" i="19"/>
  <c r="Q65" i="17"/>
  <c r="J99" i="18" l="1"/>
  <c r="L96" i="18"/>
  <c r="O67" i="17"/>
  <c r="P67" i="17" s="1"/>
  <c r="I73" i="18"/>
  <c r="K70" i="18"/>
  <c r="J101" i="18" l="1"/>
  <c r="L98" i="18"/>
  <c r="O69" i="17"/>
  <c r="P69" i="17" s="1"/>
  <c r="K72" i="18"/>
  <c r="Q69" i="17" s="1"/>
  <c r="Q67" i="17"/>
  <c r="N67" i="19"/>
  <c r="N69" i="19"/>
  <c r="I75" i="18"/>
  <c r="J103" i="18" l="1"/>
  <c r="L102" i="18" s="1"/>
  <c r="L100" i="18"/>
  <c r="O71" i="17"/>
  <c r="P71" i="17" s="1"/>
  <c r="I77" i="18"/>
  <c r="K74" i="18"/>
  <c r="O73" i="17" l="1"/>
  <c r="P73" i="17" s="1"/>
  <c r="N71" i="19"/>
  <c r="Q71" i="17"/>
  <c r="I79" i="18"/>
  <c r="K76" i="18"/>
  <c r="Q73" i="17" l="1"/>
  <c r="N73" i="19"/>
  <c r="C5" i="28" s="1" a="1"/>
  <c r="I81" i="18"/>
  <c r="K78" i="18"/>
  <c r="N75" i="19" s="1"/>
  <c r="H43" i="28" l="1" a="1"/>
  <c r="H43" i="28" s="1"/>
  <c r="H51" i="28" s="1"/>
  <c r="C5" i="28"/>
  <c r="C43" i="28" s="1" a="1"/>
  <c r="C43" i="28" s="1"/>
  <c r="H57" i="28" s="1"/>
  <c r="H59" i="28" s="1"/>
  <c r="I83" i="18"/>
  <c r="K80" i="18"/>
  <c r="N77" i="19" s="1"/>
  <c r="I108" i="16" l="1"/>
  <c r="E76" i="16" s="1"/>
  <c r="H53" i="28"/>
  <c r="I85" i="18"/>
  <c r="K82" i="18"/>
  <c r="N79" i="19" s="1"/>
  <c r="F76" i="16" l="1"/>
  <c r="F74" i="16" s="1"/>
  <c r="F72" i="16" s="1"/>
  <c r="F70" i="16" s="1"/>
  <c r="F68" i="16" s="1"/>
  <c r="F66" i="16" s="1"/>
  <c r="F64" i="16" s="1"/>
  <c r="F62" i="16" s="1"/>
  <c r="F60" i="16" s="1"/>
  <c r="F58" i="16" s="1"/>
  <c r="F56" i="16" s="1"/>
  <c r="F54" i="16" s="1"/>
  <c r="F52" i="16" s="1"/>
  <c r="F50" i="16" s="1"/>
  <c r="F48" i="16" s="1"/>
  <c r="F46" i="16" s="1"/>
  <c r="F44" i="16" s="1"/>
  <c r="F42" i="16" s="1"/>
  <c r="F40" i="16" s="1"/>
  <c r="F38" i="16" s="1"/>
  <c r="F36" i="16" s="1"/>
  <c r="F34" i="16" s="1"/>
  <c r="F32" i="16" s="1"/>
  <c r="F30" i="16" s="1"/>
  <c r="F28" i="16" s="1"/>
  <c r="F26" i="16" s="1"/>
  <c r="F24" i="16" s="1"/>
  <c r="F22" i="16" s="1"/>
  <c r="F20" i="16" s="1"/>
  <c r="F18" i="16" s="1"/>
  <c r="F16" i="16" s="1"/>
  <c r="F14" i="16" s="1"/>
  <c r="F12" i="16" s="1"/>
  <c r="F10" i="16" s="1"/>
  <c r="F8" i="16" s="1"/>
  <c r="F6" i="16" s="1"/>
  <c r="E74" i="16"/>
  <c r="I87" i="18"/>
  <c r="K84" i="18"/>
  <c r="N81" i="19" s="1"/>
  <c r="E72" i="16" l="1"/>
  <c r="J74" i="16"/>
  <c r="K74" i="16" s="1"/>
  <c r="I89" i="18"/>
  <c r="K86" i="18"/>
  <c r="N83" i="19" s="1"/>
  <c r="T74" i="16" l="1"/>
  <c r="V74" i="16" s="1"/>
  <c r="P74" i="16"/>
  <c r="J72" i="16"/>
  <c r="K72" i="16" s="1"/>
  <c r="E70" i="16"/>
  <c r="I91" i="18"/>
  <c r="K88" i="18"/>
  <c r="N85" i="19" s="1"/>
  <c r="T72" i="16" l="1"/>
  <c r="V72" i="16" s="1"/>
  <c r="P72" i="16"/>
  <c r="W74" i="16"/>
  <c r="Q74" i="16"/>
  <c r="J70" i="16"/>
  <c r="K70" i="16" s="1"/>
  <c r="E68" i="16"/>
  <c r="I93" i="18"/>
  <c r="K90" i="18"/>
  <c r="N87" i="19" s="1"/>
  <c r="T70" i="16" l="1"/>
  <c r="V70" i="16" s="1"/>
  <c r="P70" i="16"/>
  <c r="J68" i="16"/>
  <c r="K68" i="16" s="1"/>
  <c r="E66" i="16"/>
  <c r="W72" i="16"/>
  <c r="Q72" i="16"/>
  <c r="I95" i="18"/>
  <c r="K92" i="18"/>
  <c r="N89" i="19" s="1"/>
  <c r="T68" i="16" l="1"/>
  <c r="V68" i="16" s="1"/>
  <c r="P68" i="16"/>
  <c r="Q70" i="16"/>
  <c r="W70" i="16"/>
  <c r="J66" i="16"/>
  <c r="K66" i="16" s="1"/>
  <c r="E64" i="16"/>
  <c r="I97" i="18"/>
  <c r="K94" i="18"/>
  <c r="N91" i="19" s="1"/>
  <c r="Q68" i="16" l="1"/>
  <c r="W68" i="16"/>
  <c r="E62" i="16"/>
  <c r="J64" i="16"/>
  <c r="K64" i="16" s="1"/>
  <c r="T66" i="16"/>
  <c r="V66" i="16" s="1"/>
  <c r="P66" i="16"/>
  <c r="I99" i="18"/>
  <c r="K96" i="18"/>
  <c r="N93" i="19" s="1"/>
  <c r="I101" i="18" l="1"/>
  <c r="K98" i="18"/>
  <c r="N95" i="19" s="1"/>
  <c r="T64" i="16"/>
  <c r="V64" i="16" s="1"/>
  <c r="P64" i="16"/>
  <c r="J62" i="16"/>
  <c r="K62" i="16" s="1"/>
  <c r="E60" i="16"/>
  <c r="I103" i="18"/>
  <c r="W66" i="16"/>
  <c r="Q66" i="16"/>
  <c r="E58" i="16" l="1"/>
  <c r="J60" i="16"/>
  <c r="K60" i="16" s="1"/>
  <c r="W64" i="16"/>
  <c r="Q64" i="16"/>
  <c r="T62" i="16"/>
  <c r="V62" i="16" s="1"/>
  <c r="P62" i="16"/>
  <c r="K100" i="18"/>
  <c r="N97" i="19" s="1"/>
  <c r="W62" i="16" l="1"/>
  <c r="Q62" i="16"/>
  <c r="T60" i="16"/>
  <c r="V60" i="16" s="1"/>
  <c r="P60" i="16"/>
  <c r="E56" i="16"/>
  <c r="J58" i="16"/>
  <c r="K58" i="16" s="1"/>
  <c r="K102" i="18"/>
  <c r="T58" i="16" l="1"/>
  <c r="V58" i="16" s="1"/>
  <c r="P58" i="16"/>
  <c r="J56" i="16"/>
  <c r="K56" i="16" s="1"/>
  <c r="E54" i="16"/>
  <c r="W60" i="16"/>
  <c r="Q60" i="16"/>
  <c r="N99" i="19"/>
  <c r="T56" i="16" l="1"/>
  <c r="V56" i="16" s="1"/>
  <c r="P56" i="16"/>
  <c r="E52" i="16"/>
  <c r="J54" i="16"/>
  <c r="K54" i="16" s="1"/>
  <c r="W58" i="16"/>
  <c r="Q58" i="16"/>
  <c r="T54" i="16" l="1"/>
  <c r="V54" i="16" s="1"/>
  <c r="P54" i="16"/>
  <c r="E50" i="16"/>
  <c r="J52" i="16"/>
  <c r="K52" i="16" s="1"/>
  <c r="W56" i="16"/>
  <c r="Q56" i="16"/>
  <c r="T52" i="16" l="1"/>
  <c r="V52" i="16" s="1"/>
  <c r="P52" i="16"/>
  <c r="W54" i="16"/>
  <c r="Q54" i="16"/>
  <c r="E48" i="16"/>
  <c r="J50" i="16"/>
  <c r="K50" i="16" s="1"/>
  <c r="T50" i="16" l="1"/>
  <c r="V50" i="16" s="1"/>
  <c r="P50" i="16"/>
  <c r="J48" i="16"/>
  <c r="K48" i="16" s="1"/>
  <c r="E46" i="16"/>
  <c r="W52" i="16"/>
  <c r="Q52" i="16"/>
  <c r="E44" i="16" l="1"/>
  <c r="J46" i="16"/>
  <c r="K46" i="16" s="1"/>
  <c r="W50" i="16"/>
  <c r="Q50" i="16"/>
  <c r="T48" i="16"/>
  <c r="V48" i="16" s="1"/>
  <c r="P48" i="16"/>
  <c r="W48" i="16" l="1"/>
  <c r="Q48" i="16"/>
  <c r="T46" i="16"/>
  <c r="V46" i="16" s="1"/>
  <c r="P46" i="16"/>
  <c r="E42" i="16"/>
  <c r="J44" i="16"/>
  <c r="K44" i="16" s="1"/>
  <c r="T44" i="16" l="1"/>
  <c r="V44" i="16" s="1"/>
  <c r="P44" i="16"/>
  <c r="J42" i="16"/>
  <c r="K42" i="16" s="1"/>
  <c r="E40" i="16"/>
  <c r="W46" i="16"/>
  <c r="Q46" i="16"/>
  <c r="J40" i="16" l="1"/>
  <c r="K40" i="16" s="1"/>
  <c r="E38" i="16"/>
  <c r="W44" i="16"/>
  <c r="Q44" i="16"/>
  <c r="T42" i="16"/>
  <c r="V42" i="16" s="1"/>
  <c r="P42" i="16"/>
  <c r="W42" i="16" l="1"/>
  <c r="Q42" i="16"/>
  <c r="E36" i="16"/>
  <c r="J38" i="16"/>
  <c r="K38" i="16" s="1"/>
  <c r="T40" i="16"/>
  <c r="V40" i="16" s="1"/>
  <c r="P40" i="16"/>
  <c r="W40" i="16" l="1"/>
  <c r="Q40" i="16"/>
  <c r="T38" i="16"/>
  <c r="V38" i="16" s="1"/>
  <c r="P38" i="16"/>
  <c r="J36" i="16"/>
  <c r="K36" i="16" s="1"/>
  <c r="E34" i="16"/>
  <c r="T36" i="16" l="1"/>
  <c r="V36" i="16" s="1"/>
  <c r="P36" i="16"/>
  <c r="E32" i="16"/>
  <c r="J34" i="16"/>
  <c r="K34" i="16" s="1"/>
  <c r="W38" i="16"/>
  <c r="Q38" i="16"/>
  <c r="T34" i="16" l="1"/>
  <c r="V34" i="16" s="1"/>
  <c r="P34" i="16"/>
  <c r="W36" i="16"/>
  <c r="Q36" i="16"/>
  <c r="J32" i="16"/>
  <c r="K32" i="16" s="1"/>
  <c r="E30" i="16"/>
  <c r="E28" i="16" l="1"/>
  <c r="J30" i="16"/>
  <c r="K30" i="16" s="1"/>
  <c r="T32" i="16"/>
  <c r="V32" i="16" s="1"/>
  <c r="P32" i="16"/>
  <c r="Q34" i="16"/>
  <c r="W34" i="16"/>
  <c r="W32" i="16" l="1"/>
  <c r="Q32" i="16"/>
  <c r="P30" i="16"/>
  <c r="T30" i="16"/>
  <c r="V30" i="16" s="1"/>
  <c r="J28" i="16"/>
  <c r="K28" i="16" s="1"/>
  <c r="E26" i="16"/>
  <c r="E24" i="16" l="1"/>
  <c r="J26" i="16"/>
  <c r="K26" i="16" s="1"/>
  <c r="T28" i="16"/>
  <c r="V28" i="16" s="1"/>
  <c r="P28" i="16"/>
  <c r="Q30" i="16"/>
  <c r="W30" i="16"/>
  <c r="Q28" i="16" l="1"/>
  <c r="W28" i="16"/>
  <c r="T26" i="16"/>
  <c r="V26" i="16" s="1"/>
  <c r="P26" i="16"/>
  <c r="J24" i="16"/>
  <c r="K24" i="16" s="1"/>
  <c r="E22" i="16"/>
  <c r="J22" i="16" l="1"/>
  <c r="K22" i="16" s="1"/>
  <c r="E20" i="16"/>
  <c r="T24" i="16"/>
  <c r="V24" i="16" s="1"/>
  <c r="P24" i="16"/>
  <c r="W26" i="16"/>
  <c r="Q26" i="16"/>
  <c r="Q24" i="16" l="1"/>
  <c r="W24" i="16"/>
  <c r="E18" i="16"/>
  <c r="J20" i="16"/>
  <c r="K20" i="16" s="1"/>
  <c r="P22" i="16"/>
  <c r="T22" i="16"/>
  <c r="V22" i="16" s="1"/>
  <c r="J18" i="16" l="1"/>
  <c r="K18" i="16" s="1"/>
  <c r="E16" i="16"/>
  <c r="Q22" i="16"/>
  <c r="W22" i="16"/>
  <c r="P20" i="16"/>
  <c r="T20" i="16"/>
  <c r="V20" i="16" s="1"/>
  <c r="Q20" i="16" l="1"/>
  <c r="W20" i="16"/>
  <c r="E14" i="16"/>
  <c r="E12" i="16" s="1"/>
  <c r="E10" i="16" s="1"/>
  <c r="E8" i="16" s="1"/>
  <c r="J16" i="16"/>
  <c r="K16" i="16" s="1"/>
  <c r="P18" i="16"/>
  <c r="T18" i="16"/>
  <c r="V18" i="16" s="1"/>
  <c r="E6" i="16" l="1"/>
  <c r="J6" i="16" s="1"/>
  <c r="K6" i="16" s="1"/>
  <c r="J8" i="16"/>
  <c r="K8" i="16" s="1"/>
  <c r="Q18" i="16"/>
  <c r="W18" i="16"/>
  <c r="J14" i="16"/>
  <c r="K14" i="16" s="1"/>
  <c r="P16" i="16"/>
  <c r="T16" i="16"/>
  <c r="V16" i="16" s="1"/>
  <c r="W16" i="16" l="1"/>
  <c r="Q16" i="16"/>
  <c r="J12" i="16"/>
  <c r="K12" i="16" s="1"/>
  <c r="P14" i="16"/>
  <c r="T14" i="16"/>
  <c r="V14" i="16" s="1"/>
  <c r="W14" i="16" l="1"/>
  <c r="Q14" i="16"/>
  <c r="P12" i="16"/>
  <c r="T12" i="16"/>
  <c r="V12" i="16" s="1"/>
  <c r="J10" i="16"/>
  <c r="K10" i="16" s="1"/>
  <c r="T10" i="16" l="1"/>
  <c r="V10" i="16" s="1"/>
  <c r="P10" i="16"/>
  <c r="Q12" i="16"/>
  <c r="W12" i="16"/>
  <c r="W10" i="16" l="1"/>
  <c r="Q10" i="16"/>
  <c r="P8" i="16"/>
  <c r="T8" i="16"/>
  <c r="V8" i="16" s="1"/>
  <c r="AC69" i="16"/>
  <c r="G74" i="16"/>
  <c r="G26" i="16"/>
  <c r="J144" i="16"/>
  <c r="G24" i="16"/>
  <c r="G12" i="16"/>
  <c r="G30" i="16"/>
  <c r="G68" i="16"/>
  <c r="G36" i="16"/>
  <c r="G46" i="16"/>
  <c r="G14" i="16"/>
  <c r="G54" i="16"/>
  <c r="G60" i="16"/>
  <c r="G62" i="16"/>
  <c r="G72" i="16"/>
  <c r="G64" i="16"/>
  <c r="G20" i="16"/>
  <c r="G70" i="16"/>
  <c r="G10" i="16"/>
  <c r="G44" i="16"/>
  <c r="G8" i="16"/>
  <c r="G42" i="16"/>
  <c r="G28" i="16"/>
  <c r="G50" i="16"/>
  <c r="G34" i="16"/>
  <c r="G18" i="16"/>
  <c r="G58" i="16"/>
  <c r="G52" i="16"/>
  <c r="G48" i="16"/>
  <c r="G6" i="16"/>
  <c r="G40" i="16"/>
  <c r="G66" i="16"/>
  <c r="G16" i="16"/>
  <c r="G38" i="16"/>
  <c r="G56" i="16"/>
  <c r="P6" i="16"/>
  <c r="G32" i="16"/>
  <c r="G22" i="16"/>
  <c r="I20" i="16" l="1"/>
  <c r="X20" i="16" s="1"/>
  <c r="H20" i="16"/>
  <c r="H30" i="16"/>
  <c r="I30" i="16"/>
  <c r="X30" i="16" s="1"/>
  <c r="I40" i="16"/>
  <c r="X40" i="16" s="1"/>
  <c r="H40" i="16"/>
  <c r="H70" i="16"/>
  <c r="I70" i="16"/>
  <c r="X70" i="16" s="1"/>
  <c r="I74" i="16"/>
  <c r="X74" i="16" s="1"/>
  <c r="H74" i="16"/>
  <c r="H12" i="16"/>
  <c r="I12" i="16"/>
  <c r="X12" i="16" s="1"/>
  <c r="H64" i="16"/>
  <c r="I64" i="16"/>
  <c r="X64" i="16" s="1"/>
  <c r="H26" i="16"/>
  <c r="I26" i="16"/>
  <c r="X26" i="16" s="1"/>
  <c r="I32" i="16"/>
  <c r="X32" i="16" s="1"/>
  <c r="H32" i="16"/>
  <c r="AM71" i="16"/>
  <c r="AD69" i="16"/>
  <c r="I14" i="16"/>
  <c r="X14" i="16" s="1"/>
  <c r="H14" i="16"/>
  <c r="Q8" i="16"/>
  <c r="W8" i="16"/>
  <c r="I10" i="16"/>
  <c r="X10" i="16" s="1"/>
  <c r="H10" i="16"/>
  <c r="H24" i="16"/>
  <c r="I24" i="16"/>
  <c r="X24" i="16" s="1"/>
  <c r="H72" i="16"/>
  <c r="I72" i="16"/>
  <c r="X72" i="16" s="1"/>
  <c r="H62" i="16"/>
  <c r="I62" i="16"/>
  <c r="X62" i="16" s="1"/>
  <c r="H60" i="16"/>
  <c r="I60" i="16"/>
  <c r="X60" i="16" s="1"/>
  <c r="I50" i="16"/>
  <c r="X50" i="16" s="1"/>
  <c r="H50" i="16"/>
  <c r="I38" i="16"/>
  <c r="X38" i="16" s="1"/>
  <c r="H38" i="16"/>
  <c r="H52" i="16"/>
  <c r="I52" i="16"/>
  <c r="X52" i="16" s="1"/>
  <c r="I58" i="16"/>
  <c r="X58" i="16" s="1"/>
  <c r="H58" i="16"/>
  <c r="H22" i="16"/>
  <c r="I22" i="16"/>
  <c r="X22" i="16" s="1"/>
  <c r="I34" i="16"/>
  <c r="X34" i="16" s="1"/>
  <c r="H34" i="16"/>
  <c r="Q6" i="16"/>
  <c r="T6" i="16"/>
  <c r="V6" i="16" s="1"/>
  <c r="AF44" i="16" s="1"/>
  <c r="H54" i="16"/>
  <c r="I54" i="16"/>
  <c r="X54" i="16" s="1"/>
  <c r="H28" i="16"/>
  <c r="I28" i="16"/>
  <c r="X28" i="16" s="1"/>
  <c r="I42" i="16"/>
  <c r="X42" i="16" s="1"/>
  <c r="H42" i="16"/>
  <c r="H16" i="16"/>
  <c r="I16" i="16"/>
  <c r="X16" i="16" s="1"/>
  <c r="I36" i="16"/>
  <c r="X36" i="16" s="1"/>
  <c r="H36" i="16"/>
  <c r="I6" i="16"/>
  <c r="X6" i="16" s="1"/>
  <c r="H6" i="16"/>
  <c r="I5" i="32" a="1"/>
  <c r="I5" i="32" s="1"/>
  <c r="H48" i="16"/>
  <c r="I48" i="16"/>
  <c r="X48" i="16" s="1"/>
  <c r="I18" i="16"/>
  <c r="X18" i="16" s="1"/>
  <c r="H18" i="16"/>
  <c r="H56" i="16"/>
  <c r="I56" i="16"/>
  <c r="X56" i="16" s="1"/>
  <c r="I46" i="16"/>
  <c r="X46" i="16" s="1"/>
  <c r="H46" i="16"/>
  <c r="H8" i="16"/>
  <c r="I8" i="16"/>
  <c r="X8" i="16" s="1"/>
  <c r="I66" i="16"/>
  <c r="X66" i="16" s="1"/>
  <c r="H66" i="16"/>
  <c r="J143" i="16"/>
  <c r="I147" i="16" s="1"/>
  <c r="J147" i="16" s="1"/>
  <c r="F150" i="16" s="1"/>
  <c r="H44" i="16"/>
  <c r="I44" i="16"/>
  <c r="X44" i="16" s="1"/>
  <c r="H68" i="16"/>
  <c r="I68" i="16"/>
  <c r="X68" i="16" s="1"/>
  <c r="W6" i="1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<sst xmlns="http://schemas.openxmlformats.org/spreadsheetml/2006/main" count="416" uniqueCount="273">
  <si>
    <t>Sampling data</t>
  </si>
  <si>
    <t>Sampling mission</t>
  </si>
  <si>
    <t>Sampling instrument</t>
  </si>
  <si>
    <t>Core code</t>
  </si>
  <si>
    <t>Ocean/Sea</t>
  </si>
  <si>
    <t>Sampling area</t>
  </si>
  <si>
    <t>Grain Size Data Available</t>
  </si>
  <si>
    <t>Sampling depth (m)</t>
  </si>
  <si>
    <t>'</t>
  </si>
  <si>
    <t>Latitude (°N)</t>
  </si>
  <si>
    <t>Longitude (°W)</t>
  </si>
  <si>
    <t>Latitude (decimal degrees)</t>
  </si>
  <si>
    <t>Longitude (decimal degrees)</t>
  </si>
  <si>
    <t>Sampling date</t>
  </si>
  <si>
    <t>Sampling date (yr)</t>
  </si>
  <si>
    <t>2021+(month-1)/12+(day-1)/365.24</t>
  </si>
  <si>
    <r>
      <t>Internal diameter (</t>
    </r>
    <r>
      <rPr>
        <sz val="10"/>
        <rFont val="Symbol"/>
        <family val="1"/>
      </rPr>
      <t xml:space="preserve"> f</t>
    </r>
    <r>
      <rPr>
        <sz val="10"/>
        <rFont val="Times New Roman"/>
        <family val="1"/>
      </rPr>
      <t>, cm)</t>
    </r>
  </si>
  <si>
    <t>* 4in=10.2cm, 3in=7.52cm</t>
  </si>
  <si>
    <r>
      <t>Uncertainty u(</t>
    </r>
    <r>
      <rPr>
        <sz val="10"/>
        <rFont val="Symbol"/>
        <family val="1"/>
      </rPr>
      <t>f</t>
    </r>
    <r>
      <rPr>
        <sz val="10"/>
        <rFont val="Times New Roman"/>
        <family val="1"/>
      </rPr>
      <t>)</t>
    </r>
  </si>
  <si>
    <r>
      <t>Surface (cm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</si>
  <si>
    <t>Uncertainty u(S)</t>
  </si>
  <si>
    <t>Core length (cm)</t>
  </si>
  <si>
    <t>Pb-210</t>
  </si>
  <si>
    <r>
      <t>Half-life (t</t>
    </r>
    <r>
      <rPr>
        <vertAlign val="subscript"/>
        <sz val="10"/>
        <rFont val="Times New Roman"/>
        <family val="1"/>
      </rPr>
      <t>½</t>
    </r>
    <r>
      <rPr>
        <sz val="10"/>
        <rFont val="Times New Roman"/>
        <family val="1"/>
      </rPr>
      <t>, yr)</t>
    </r>
  </si>
  <si>
    <t>Source DDEP, 2010</t>
  </si>
  <si>
    <r>
      <t>Uncertainty u(t</t>
    </r>
    <r>
      <rPr>
        <vertAlign val="subscript"/>
        <sz val="10"/>
        <rFont val="Times New Roman"/>
        <family val="1"/>
      </rPr>
      <t>½</t>
    </r>
    <r>
      <rPr>
        <sz val="10"/>
        <rFont val="Times New Roman"/>
        <family val="1"/>
      </rPr>
      <t>)</t>
    </r>
  </si>
  <si>
    <t>(u, %)</t>
  </si>
  <si>
    <r>
      <t>Disintegration constant (</t>
    </r>
    <r>
      <rPr>
        <sz val="10"/>
        <rFont val="Symbol"/>
        <family val="1"/>
      </rPr>
      <t>l</t>
    </r>
    <r>
      <rPr>
        <sz val="10"/>
        <rFont val="Times New Roman"/>
        <family val="1"/>
      </rPr>
      <t>, yr</t>
    </r>
    <r>
      <rPr>
        <vertAlign val="superscript"/>
        <sz val="10"/>
        <rFont val="Times New Roman"/>
        <family val="1"/>
      </rPr>
      <t>-1</t>
    </r>
    <r>
      <rPr>
        <sz val="10"/>
        <rFont val="Times New Roman"/>
        <family val="1"/>
      </rPr>
      <t>)</t>
    </r>
  </si>
  <si>
    <r>
      <t>Uncertainty u(</t>
    </r>
    <r>
      <rPr>
        <sz val="10"/>
        <rFont val="Symbol"/>
        <family val="1"/>
      </rPr>
      <t>l</t>
    </r>
    <r>
      <rPr>
        <sz val="10"/>
        <rFont val="Times New Roman"/>
        <family val="1"/>
      </rPr>
      <t>)</t>
    </r>
  </si>
  <si>
    <t>(u,%)</t>
  </si>
  <si>
    <t>from DBD tab</t>
  </si>
  <si>
    <t>~2%</t>
  </si>
  <si>
    <t>section</t>
  </si>
  <si>
    <t>Aerial</t>
  </si>
  <si>
    <t>Cumulative</t>
  </si>
  <si>
    <t xml:space="preserve">top of </t>
  </si>
  <si>
    <t xml:space="preserve">thickness </t>
  </si>
  <si>
    <t>Dry Bulk</t>
  </si>
  <si>
    <t>Dry Mass</t>
  </si>
  <si>
    <t xml:space="preserve">mass depth </t>
  </si>
  <si>
    <t>Mass Depth</t>
  </si>
  <si>
    <t>interval</t>
  </si>
  <si>
    <t>md-depth</t>
  </si>
  <si>
    <t>Density</t>
  </si>
  <si>
    <t>(by area)</t>
  </si>
  <si>
    <t>layer</t>
  </si>
  <si>
    <t xml:space="preserve"> Section</t>
  </si>
  <si>
    <t>Code</t>
  </si>
  <si>
    <t>z(i)</t>
  </si>
  <si>
    <r>
      <t>z</t>
    </r>
    <r>
      <rPr>
        <b/>
        <vertAlign val="subscript"/>
        <sz val="10"/>
        <rFont val="Times New Roman"/>
        <family val="1"/>
      </rPr>
      <t>i</t>
    </r>
  </si>
  <si>
    <r>
      <rPr>
        <b/>
        <sz val="10"/>
        <rFont val="Calibri"/>
        <family val="2"/>
      </rPr>
      <t>Δ</t>
    </r>
    <r>
      <rPr>
        <b/>
        <sz val="10"/>
        <rFont val="Times New Roman"/>
        <family val="1"/>
      </rPr>
      <t>z</t>
    </r>
    <r>
      <rPr>
        <b/>
        <vertAlign val="subscript"/>
        <sz val="10"/>
        <rFont val="Times New Roman"/>
        <family val="1"/>
      </rPr>
      <t>i</t>
    </r>
  </si>
  <si>
    <t>DBD</t>
  </si>
  <si>
    <t>u(DBD)</t>
  </si>
  <si>
    <r>
      <t>Δm</t>
    </r>
    <r>
      <rPr>
        <b/>
        <vertAlign val="subscript"/>
        <sz val="10"/>
        <rFont val="Times New Roman"/>
        <family val="1"/>
      </rPr>
      <t>i</t>
    </r>
    <r>
      <rPr>
        <b/>
        <sz val="10"/>
        <rFont val="Times New Roman"/>
        <family val="1"/>
      </rPr>
      <t>/S</t>
    </r>
  </si>
  <si>
    <r>
      <t>u(Δm</t>
    </r>
    <r>
      <rPr>
        <b/>
        <vertAlign val="subscript"/>
        <sz val="10"/>
        <rFont val="Times New Roman"/>
        <family val="1"/>
      </rPr>
      <t>i</t>
    </r>
    <r>
      <rPr>
        <b/>
        <sz val="10"/>
        <rFont val="Times New Roman"/>
        <family val="1"/>
      </rPr>
      <t>/S)</t>
    </r>
  </si>
  <si>
    <t>m(i)</t>
  </si>
  <si>
    <t>u(m(i))</t>
  </si>
  <si>
    <r>
      <t>m</t>
    </r>
    <r>
      <rPr>
        <b/>
        <vertAlign val="subscript"/>
        <sz val="10"/>
        <rFont val="Times New Roman"/>
        <family val="1"/>
      </rPr>
      <t>i</t>
    </r>
  </si>
  <si>
    <r>
      <t>u(m</t>
    </r>
    <r>
      <rPr>
        <b/>
        <vertAlign val="subscript"/>
        <sz val="10"/>
        <rFont val="Times New Roman"/>
        <family val="1"/>
      </rPr>
      <t>i</t>
    </r>
    <r>
      <rPr>
        <b/>
        <sz val="10"/>
        <rFont val="Times New Roman"/>
        <family val="1"/>
      </rPr>
      <t>)</t>
    </r>
  </si>
  <si>
    <t>(cm)</t>
  </si>
  <si>
    <r>
      <t>(g cm</t>
    </r>
    <r>
      <rPr>
        <b/>
        <vertAlign val="superscript"/>
        <sz val="10"/>
        <rFont val="Times New Roman"/>
        <family val="1"/>
      </rPr>
      <t>-3</t>
    </r>
    <r>
      <rPr>
        <b/>
        <sz val="10"/>
        <rFont val="Times New Roman"/>
        <family val="1"/>
      </rPr>
      <t>)</t>
    </r>
  </si>
  <si>
    <r>
      <t>(g cm</t>
    </r>
    <r>
      <rPr>
        <b/>
        <vertAlign val="superscript"/>
        <sz val="10"/>
        <rFont val="Times New Roman"/>
        <family val="1"/>
      </rPr>
      <t>-2</t>
    </r>
    <r>
      <rPr>
        <b/>
        <sz val="10"/>
        <rFont val="Times New Roman"/>
        <family val="1"/>
      </rPr>
      <t>)</t>
    </r>
  </si>
  <si>
    <t>Excess</t>
  </si>
  <si>
    <t>Inventory</t>
  </si>
  <si>
    <t>middle of</t>
  </si>
  <si>
    <r>
      <t>u(</t>
    </r>
    <r>
      <rPr>
        <b/>
        <vertAlign val="superscript"/>
        <sz val="10"/>
        <rFont val="Times New Roman"/>
        <family val="1"/>
      </rPr>
      <t>210</t>
    </r>
    <r>
      <rPr>
        <b/>
        <sz val="10"/>
        <rFont val="Times New Roman"/>
        <family val="1"/>
      </rPr>
      <t>Pb)</t>
    </r>
  </si>
  <si>
    <t>Ra-226</t>
  </si>
  <si>
    <r>
      <t>u(</t>
    </r>
    <r>
      <rPr>
        <b/>
        <vertAlign val="superscript"/>
        <sz val="10"/>
        <rFont val="Times New Roman"/>
        <family val="1"/>
      </rPr>
      <t>226</t>
    </r>
    <r>
      <rPr>
        <b/>
        <sz val="10"/>
        <rFont val="Times New Roman"/>
        <family val="1"/>
      </rPr>
      <t>Ra)</t>
    </r>
  </si>
  <si>
    <r>
      <t>C</t>
    </r>
    <r>
      <rPr>
        <b/>
        <vertAlign val="subscript"/>
        <sz val="10"/>
        <rFont val="Times New Roman"/>
        <family val="1"/>
      </rPr>
      <t>i</t>
    </r>
  </si>
  <si>
    <r>
      <t>u(C</t>
    </r>
    <r>
      <rPr>
        <b/>
        <vertAlign val="subscript"/>
        <sz val="10"/>
        <rFont val="Times New Roman"/>
        <family val="1"/>
      </rPr>
      <t>i</t>
    </r>
    <r>
      <rPr>
        <b/>
        <sz val="10"/>
        <rFont val="Times New Roman"/>
        <family val="1"/>
      </rPr>
      <t>)</t>
    </r>
  </si>
  <si>
    <t>C(i)</t>
  </si>
  <si>
    <t>u(C(i))</t>
  </si>
  <si>
    <r>
      <rPr>
        <b/>
        <sz val="10"/>
        <rFont val="Calibri"/>
        <family val="2"/>
      </rPr>
      <t>Δ</t>
    </r>
    <r>
      <rPr>
        <b/>
        <sz val="10"/>
        <rFont val="Times New Roman"/>
        <family val="1"/>
      </rPr>
      <t>A</t>
    </r>
    <r>
      <rPr>
        <b/>
        <vertAlign val="subscript"/>
        <sz val="10"/>
        <rFont val="Times New Roman"/>
        <family val="1"/>
      </rPr>
      <t>i</t>
    </r>
  </si>
  <si>
    <r>
      <t>u(</t>
    </r>
    <r>
      <rPr>
        <b/>
        <sz val="10"/>
        <rFont val="Calibri"/>
        <family val="2"/>
      </rPr>
      <t>Δ</t>
    </r>
    <r>
      <rPr>
        <b/>
        <sz val="10"/>
        <rFont val="Times New Roman"/>
        <family val="1"/>
      </rPr>
      <t>A</t>
    </r>
    <r>
      <rPr>
        <b/>
        <vertAlign val="subscript"/>
        <sz val="10"/>
        <rFont val="Times New Roman"/>
        <family val="1"/>
      </rPr>
      <t>i</t>
    </r>
    <r>
      <rPr>
        <b/>
        <sz val="10"/>
        <rFont val="Times New Roman"/>
        <family val="1"/>
      </rPr>
      <t>)</t>
    </r>
  </si>
  <si>
    <t>ln(Ci)</t>
  </si>
  <si>
    <t>uln(Ci)</t>
  </si>
  <si>
    <t>Inverval</t>
  </si>
  <si>
    <r>
      <t>(dpm g</t>
    </r>
    <r>
      <rPr>
        <b/>
        <vertAlign val="superscript"/>
        <sz val="10"/>
        <rFont val="Times New Roman"/>
        <family val="1"/>
      </rPr>
      <t>-1</t>
    </r>
    <r>
      <rPr>
        <b/>
        <sz val="10"/>
        <rFont val="Times New Roman"/>
        <family val="1"/>
      </rPr>
      <t>)</t>
    </r>
  </si>
  <si>
    <r>
      <t>(dpm cm</t>
    </r>
    <r>
      <rPr>
        <b/>
        <vertAlign val="superscript"/>
        <sz val="10"/>
        <rFont val="Times New Roman"/>
        <family val="1"/>
      </rPr>
      <t>-2</t>
    </r>
    <r>
      <rPr>
        <b/>
        <sz val="10"/>
        <rFont val="Times New Roman"/>
        <family val="1"/>
      </rPr>
      <t>)</t>
    </r>
  </si>
  <si>
    <t>Inverval (cm)</t>
  </si>
  <si>
    <r>
      <t>m</t>
    </r>
    <r>
      <rPr>
        <vertAlign val="subscript"/>
        <sz val="10"/>
        <rFont val="Arial"/>
        <family val="2"/>
      </rPr>
      <t xml:space="preserve">i </t>
    </r>
    <r>
      <rPr>
        <sz val="10"/>
        <rFont val="Arial"/>
        <family val="2"/>
      </rPr>
      <t>(g cm</t>
    </r>
    <r>
      <rPr>
        <vertAlign val="superscript"/>
        <sz val="10"/>
        <rFont val="Arial"/>
        <family val="2"/>
      </rPr>
      <t>-2</t>
    </r>
    <r>
      <rPr>
        <sz val="10"/>
        <rFont val="Arial"/>
        <family val="2"/>
      </rPr>
      <t>)</t>
    </r>
  </si>
  <si>
    <t>Inventory (column K)= Activity*DBD*thickness</t>
  </si>
  <si>
    <t>Use gamma data for Ra-226 for each interval if available</t>
  </si>
  <si>
    <t>LINEST</t>
  </si>
  <si>
    <t>Coefficients</t>
  </si>
  <si>
    <t>Std Error</t>
  </si>
  <si>
    <t>Intercept</t>
  </si>
  <si>
    <t>X Variable 1</t>
  </si>
  <si>
    <r>
      <t>C</t>
    </r>
    <r>
      <rPr>
        <vertAlign val="subscript"/>
        <sz val="10"/>
        <rFont val="Times New Roman"/>
        <family val="1"/>
      </rPr>
      <t>0</t>
    </r>
  </si>
  <si>
    <r>
      <t>ln C</t>
    </r>
    <r>
      <rPr>
        <b/>
        <vertAlign val="subscript"/>
        <sz val="10"/>
        <rFont val="Times New Roman"/>
        <family val="1"/>
      </rPr>
      <t>i</t>
    </r>
  </si>
  <si>
    <r>
      <t>ln(C</t>
    </r>
    <r>
      <rPr>
        <b/>
        <vertAlign val="subscript"/>
        <sz val="10"/>
        <rFont val="Times New Roman"/>
        <family val="1"/>
      </rPr>
      <t>i</t>
    </r>
    <r>
      <rPr>
        <b/>
        <sz val="10"/>
        <rFont val="Times New Roman"/>
        <family val="1"/>
      </rPr>
      <t>)</t>
    </r>
  </si>
  <si>
    <r>
      <t>t</t>
    </r>
    <r>
      <rPr>
        <b/>
        <vertAlign val="subscript"/>
        <sz val="10"/>
        <rFont val="Times New Roman"/>
        <family val="1"/>
      </rPr>
      <t>i</t>
    </r>
  </si>
  <si>
    <r>
      <t>u(t</t>
    </r>
    <r>
      <rPr>
        <b/>
        <vertAlign val="subscript"/>
        <sz val="10"/>
        <rFont val="Times New Roman"/>
        <family val="1"/>
      </rPr>
      <t>i</t>
    </r>
    <r>
      <rPr>
        <b/>
        <sz val="10"/>
        <rFont val="Times New Roman"/>
        <family val="1"/>
      </rPr>
      <t>)</t>
    </r>
  </si>
  <si>
    <t>CIC age</t>
  </si>
  <si>
    <t>ur(l)</t>
  </si>
  <si>
    <r>
      <t>ur(C</t>
    </r>
    <r>
      <rPr>
        <b/>
        <vertAlign val="subscript"/>
        <sz val="10"/>
        <rFont val="Times New Roman"/>
        <family val="1"/>
      </rPr>
      <t>0</t>
    </r>
    <r>
      <rPr>
        <b/>
        <sz val="10"/>
        <rFont val="Times New Roman"/>
        <family val="1"/>
      </rPr>
      <t>)</t>
    </r>
  </si>
  <si>
    <r>
      <t>ur(C</t>
    </r>
    <r>
      <rPr>
        <b/>
        <vertAlign val="subscript"/>
        <sz val="10"/>
        <rFont val="Times New Roman"/>
        <family val="1"/>
      </rPr>
      <t>i</t>
    </r>
    <r>
      <rPr>
        <b/>
        <sz val="10"/>
        <rFont val="Times New Roman"/>
        <family val="1"/>
      </rPr>
      <t>)</t>
    </r>
  </si>
  <si>
    <t>t(i)</t>
  </si>
  <si>
    <t>u(t(i))</t>
  </si>
  <si>
    <r>
      <rPr>
        <b/>
        <sz val="10"/>
        <rFont val="Calibri"/>
        <family val="2"/>
      </rPr>
      <t>Δ</t>
    </r>
    <r>
      <rPr>
        <b/>
        <sz val="10"/>
        <rFont val="Times New Roman"/>
        <family val="1"/>
      </rPr>
      <t>t</t>
    </r>
  </si>
  <si>
    <t>u(Δt)</t>
  </si>
  <si>
    <t>s</t>
  </si>
  <si>
    <t>u(s)</t>
  </si>
  <si>
    <t>r</t>
  </si>
  <si>
    <t>u(r )</t>
  </si>
  <si>
    <t>CIC Model</t>
  </si>
  <si>
    <t>(yr)</t>
  </si>
  <si>
    <t>(A.D.)</t>
  </si>
  <si>
    <r>
      <t>(cm yr</t>
    </r>
    <r>
      <rPr>
        <b/>
        <vertAlign val="superscript"/>
        <sz val="10"/>
        <rFont val="Times New Roman"/>
        <family val="1"/>
      </rPr>
      <t>-1</t>
    </r>
    <r>
      <rPr>
        <b/>
        <sz val="10"/>
        <rFont val="Times New Roman"/>
        <family val="1"/>
      </rPr>
      <t>)</t>
    </r>
  </si>
  <si>
    <r>
      <t>(g cm</t>
    </r>
    <r>
      <rPr>
        <b/>
        <vertAlign val="superscript"/>
        <sz val="10"/>
        <rFont val="Times New Roman"/>
        <family val="1"/>
      </rPr>
      <t>-2</t>
    </r>
    <r>
      <rPr>
        <b/>
        <sz val="10"/>
        <rFont val="Times New Roman"/>
        <family val="1"/>
      </rPr>
      <t xml:space="preserve"> yr</t>
    </r>
    <r>
      <rPr>
        <b/>
        <vertAlign val="superscript"/>
        <sz val="10"/>
        <rFont val="Times New Roman"/>
        <family val="1"/>
      </rPr>
      <t>-1</t>
    </r>
    <r>
      <rPr>
        <b/>
        <sz val="10"/>
        <rFont val="Times New Roman"/>
        <family val="1"/>
      </rPr>
      <t>)</t>
    </r>
  </si>
  <si>
    <t>m</t>
  </si>
  <si>
    <t>Excess Pb-210 = Total - supported (226Ra)</t>
  </si>
  <si>
    <t>λ=</t>
  </si>
  <si>
    <t xml:space="preserve">t = x/So   </t>
  </si>
  <si>
    <t>Half Life: t1/2 = 22.23 ± 0.12 yr</t>
  </si>
  <si>
    <t>Decay Constant: (ln2/t1/2 ) = 0.03118 ± 0.00017 yr-1</t>
  </si>
  <si>
    <t>MAR</t>
  </si>
  <si>
    <t>X factor</t>
  </si>
  <si>
    <t>g cm-2 y-1</t>
  </si>
  <si>
    <t>Slope</t>
  </si>
  <si>
    <t>SAR</t>
  </si>
  <si>
    <t>cm y-1</t>
  </si>
  <si>
    <t xml:space="preserve">SAR = </t>
  </si>
  <si>
    <t>λ / slope</t>
  </si>
  <si>
    <t>ln (A(0)/A(i)/𝛌</t>
  </si>
  <si>
    <r>
      <t>𝛌A(0)/C</t>
    </r>
    <r>
      <rPr>
        <b/>
        <vertAlign val="subscript"/>
        <sz val="10"/>
        <rFont val="Times New Roman"/>
        <family val="1"/>
      </rPr>
      <t>0</t>
    </r>
  </si>
  <si>
    <t>Masses E</t>
  </si>
  <si>
    <t>r(i)/𝛒(i)</t>
  </si>
  <si>
    <t>Layer</t>
  </si>
  <si>
    <t>age</t>
  </si>
  <si>
    <t xml:space="preserve"> Below</t>
  </si>
  <si>
    <t>Depth of layer</t>
  </si>
  <si>
    <r>
      <rPr>
        <b/>
        <sz val="10"/>
        <rFont val="Calibri"/>
        <family val="2"/>
      </rPr>
      <t>u(Δ</t>
    </r>
    <r>
      <rPr>
        <b/>
        <sz val="10"/>
        <rFont val="Times New Roman"/>
        <family val="1"/>
      </rPr>
      <t>A</t>
    </r>
    <r>
      <rPr>
        <b/>
        <vertAlign val="subscript"/>
        <sz val="10"/>
        <rFont val="Times New Roman"/>
        <family val="1"/>
      </rPr>
      <t>i</t>
    </r>
    <r>
      <rPr>
        <b/>
        <sz val="10"/>
        <rFont val="Times New Roman"/>
        <family val="1"/>
      </rPr>
      <t>)</t>
    </r>
  </si>
  <si>
    <t>A(i)</t>
  </si>
  <si>
    <t>u(A(i))</t>
  </si>
  <si>
    <t>Year</t>
  </si>
  <si>
    <t>r(i)</t>
  </si>
  <si>
    <t>u(r(i))</t>
  </si>
  <si>
    <r>
      <t>r</t>
    </r>
    <r>
      <rPr>
        <b/>
        <vertAlign val="subscript"/>
        <sz val="10"/>
        <rFont val="Times New Roman"/>
        <family val="1"/>
      </rPr>
      <t>i</t>
    </r>
  </si>
  <si>
    <r>
      <t>u(</t>
    </r>
    <r>
      <rPr>
        <b/>
        <sz val="10"/>
        <rFont val="Symbol"/>
        <family val="1"/>
      </rPr>
      <t>r</t>
    </r>
    <r>
      <rPr>
        <b/>
        <vertAlign val="subscript"/>
        <sz val="10"/>
        <rFont val="Times New Roman"/>
        <family val="1"/>
      </rPr>
      <t>i</t>
    </r>
    <r>
      <rPr>
        <b/>
        <sz val="10"/>
        <rFont val="Times New Roman"/>
        <family val="1"/>
      </rPr>
      <t>)</t>
    </r>
  </si>
  <si>
    <r>
      <t>r</t>
    </r>
    <r>
      <rPr>
        <b/>
        <sz val="10"/>
        <rFont val="Times New Roman"/>
        <family val="1"/>
      </rPr>
      <t>(i)</t>
    </r>
  </si>
  <si>
    <r>
      <t>u(</t>
    </r>
    <r>
      <rPr>
        <b/>
        <sz val="10"/>
        <rFont val="Symbol"/>
        <family val="1"/>
      </rPr>
      <t>r</t>
    </r>
    <r>
      <rPr>
        <b/>
        <sz val="10"/>
        <rFont val="Times New Roman"/>
        <family val="1"/>
      </rPr>
      <t>(i))</t>
    </r>
  </si>
  <si>
    <t>s(i)</t>
  </si>
  <si>
    <t>u(s(i))</t>
  </si>
  <si>
    <t>S</t>
  </si>
  <si>
    <t>Pb-210ex deposit in section</t>
  </si>
  <si>
    <r>
      <t>(g m</t>
    </r>
    <r>
      <rPr>
        <b/>
        <vertAlign val="superscript"/>
        <sz val="10"/>
        <rFont val="Times New Roman"/>
        <family val="1"/>
      </rPr>
      <t>-2</t>
    </r>
    <r>
      <rPr>
        <b/>
        <sz val="10"/>
        <rFont val="Times New Roman"/>
        <family val="1"/>
      </rPr>
      <t xml:space="preserve"> yr</t>
    </r>
    <r>
      <rPr>
        <b/>
        <vertAlign val="superscript"/>
        <sz val="10"/>
        <rFont val="Times New Roman"/>
        <family val="1"/>
      </rPr>
      <t>-1</t>
    </r>
    <r>
      <rPr>
        <b/>
        <sz val="10"/>
        <rFont val="Times New Roman"/>
        <family val="1"/>
      </rPr>
      <t>)</t>
    </r>
  </si>
  <si>
    <t>fraction C</t>
  </si>
  <si>
    <t>C MAR</t>
  </si>
  <si>
    <t>Accumulated deposit below layer</t>
  </si>
  <si>
    <t>Time elapsed since formation of layer</t>
  </si>
  <si>
    <r>
      <rPr>
        <b/>
        <sz val="14"/>
        <color indexed="10"/>
        <rFont val="Times New Roman"/>
        <family val="1"/>
      </rPr>
      <t>Inventory</t>
    </r>
    <r>
      <rPr>
        <sz val="14"/>
        <color indexed="10"/>
        <rFont val="Times New Roman"/>
        <family val="1"/>
      </rPr>
      <t xml:space="preserve"> </t>
    </r>
    <r>
      <rPr>
        <sz val="12"/>
        <color indexed="10"/>
        <rFont val="Times New Roman"/>
        <family val="1"/>
      </rPr>
      <t xml:space="preserve"> = Interval Thickness* XS Pb-210*DBD</t>
    </r>
  </si>
  <si>
    <t>Date of deposition of layer</t>
  </si>
  <si>
    <r>
      <rPr>
        <b/>
        <sz val="14"/>
        <color indexed="10"/>
        <rFont val="Times New Roman"/>
        <family val="1"/>
      </rPr>
      <t>Age</t>
    </r>
    <r>
      <rPr>
        <sz val="12"/>
        <color indexed="10"/>
        <rFont val="Times New Roman"/>
        <family val="1"/>
      </rPr>
      <t xml:space="preserve"> = LN (total inverntory/Inventory below the layer)/decay constant </t>
    </r>
  </si>
  <si>
    <t>Mass accumulation rate of layer - MAR</t>
  </si>
  <si>
    <r>
      <rPr>
        <b/>
        <sz val="14"/>
        <color indexed="10"/>
        <rFont val="Times New Roman"/>
        <family val="1"/>
      </rPr>
      <t xml:space="preserve">MAR </t>
    </r>
    <r>
      <rPr>
        <sz val="12"/>
        <color indexed="10"/>
        <rFont val="Times New Roman"/>
        <family val="1"/>
      </rPr>
      <t>= Decay constant * Inventory/ C</t>
    </r>
    <r>
      <rPr>
        <vertAlign val="subscript"/>
        <sz val="12"/>
        <color indexed="10"/>
        <rFont val="Times New Roman"/>
        <family val="1"/>
      </rPr>
      <t>0</t>
    </r>
  </si>
  <si>
    <t>Dry bulk density of section</t>
  </si>
  <si>
    <t>Dry bulk density of layer</t>
  </si>
  <si>
    <r>
      <t>𝛒</t>
    </r>
    <r>
      <rPr>
        <vertAlign val="subscript"/>
        <sz val="12"/>
        <color indexed="10"/>
        <rFont val="Times New Roman"/>
        <family val="1"/>
      </rPr>
      <t>i</t>
    </r>
    <r>
      <rPr>
        <sz val="12"/>
        <color indexed="10"/>
        <rFont val="Times New Roman"/>
        <family val="1"/>
      </rPr>
      <t xml:space="preserve"> is  DBD / interval thickness</t>
    </r>
  </si>
  <si>
    <t>Sediment accumulation rate of layer - SAR</t>
  </si>
  <si>
    <r>
      <rPr>
        <b/>
        <sz val="14"/>
        <color indexed="10"/>
        <rFont val="Times New Roman"/>
        <family val="1"/>
      </rPr>
      <t>SAR</t>
    </r>
    <r>
      <rPr>
        <sz val="12"/>
        <color indexed="10"/>
        <rFont val="Times New Roman"/>
        <family val="1"/>
      </rPr>
      <t xml:space="preserve"> = MAR/ DBD</t>
    </r>
  </si>
  <si>
    <t xml:space="preserve">Carbon </t>
  </si>
  <si>
    <t>Accumulation</t>
  </si>
  <si>
    <t>Rate</t>
  </si>
  <si>
    <t>Mean CAR</t>
  </si>
  <si>
    <t>Min</t>
  </si>
  <si>
    <t>Max</t>
  </si>
  <si>
    <r>
      <rPr>
        <b/>
        <sz val="14"/>
        <rFont val="Times New Roman"/>
        <family val="1"/>
      </rPr>
      <t>Calculated</t>
    </r>
    <r>
      <rPr>
        <b/>
        <vertAlign val="superscript"/>
        <sz val="14"/>
        <rFont val="Times New Roman"/>
        <family val="1"/>
      </rPr>
      <t xml:space="preserve"> 210</t>
    </r>
    <r>
      <rPr>
        <b/>
        <sz val="14"/>
        <rFont val="Times New Roman"/>
        <family val="1"/>
      </rPr>
      <t>Pb flux (f)</t>
    </r>
  </si>
  <si>
    <t>u(f)</t>
  </si>
  <si>
    <r>
      <t>(dpm cm</t>
    </r>
    <r>
      <rPr>
        <b/>
        <vertAlign val="superscript"/>
        <sz val="14"/>
        <rFont val="Times New Roman"/>
        <family val="1"/>
      </rPr>
      <t>2</t>
    </r>
    <r>
      <rPr>
        <b/>
        <sz val="14"/>
        <rFont val="Times New Roman"/>
        <family val="1"/>
      </rPr>
      <t xml:space="preserve"> yr</t>
    </r>
    <r>
      <rPr>
        <b/>
        <vertAlign val="superscript"/>
        <sz val="14"/>
        <rFont val="Times New Roman"/>
        <family val="1"/>
      </rPr>
      <t>-1</t>
    </r>
    <r>
      <rPr>
        <b/>
        <sz val="14"/>
        <rFont val="Times New Roman"/>
        <family val="1"/>
      </rPr>
      <t>)</t>
    </r>
  </si>
  <si>
    <t xml:space="preserve">Local Atmospheric flux </t>
  </si>
  <si>
    <t>Total Inv * decay constant (0.3118)</t>
  </si>
  <si>
    <t>Calc Flux / Atm Flux</t>
  </si>
  <si>
    <t>INCOMPLETE INVENTORIES</t>
  </si>
  <si>
    <t>1/y</t>
  </si>
  <si>
    <t>(A) Known Accumulation Rate</t>
  </si>
  <si>
    <t>A(j)</t>
  </si>
  <si>
    <r>
      <rPr>
        <b/>
        <sz val="14"/>
        <rFont val="Times New Roman"/>
        <family val="1"/>
      </rPr>
      <t>r</t>
    </r>
    <r>
      <rPr>
        <sz val="10"/>
        <rFont val="Times New Roman"/>
        <family val="1"/>
      </rPr>
      <t xml:space="preserve"> is mean MAR calculated from CFCS </t>
    </r>
  </si>
  <si>
    <r>
      <rPr>
        <b/>
        <sz val="14"/>
        <rFont val="Times New Roman"/>
        <family val="1"/>
      </rPr>
      <t>C(j)</t>
    </r>
    <r>
      <rPr>
        <sz val="10"/>
        <rFont val="Times New Roman"/>
        <family val="1"/>
      </rPr>
      <t xml:space="preserve"> Is the XS Pb-210 activity of the bottom layer measured </t>
    </r>
  </si>
  <si>
    <t>(B) Reference Date</t>
  </si>
  <si>
    <t>Only if there is a layer with a clear date to reference</t>
  </si>
  <si>
    <t>A(j) = A(0)e -𝛌t</t>
  </si>
  <si>
    <t>𝛌</t>
  </si>
  <si>
    <r>
      <rPr>
        <b/>
        <sz val="14"/>
        <rFont val="Times New Roman"/>
        <family val="1"/>
      </rPr>
      <t>t</t>
    </r>
    <r>
      <rPr>
        <sz val="10"/>
        <rFont val="Times New Roman"/>
        <family val="1"/>
      </rPr>
      <t xml:space="preserve"> is the age of the lowest layer</t>
    </r>
  </si>
  <si>
    <r>
      <rPr>
        <b/>
        <sz val="14"/>
        <color theme="1"/>
        <rFont val="Times New Roman"/>
        <family val="1"/>
      </rPr>
      <t>𝞭A</t>
    </r>
    <r>
      <rPr>
        <sz val="10"/>
        <color theme="1"/>
        <rFont val="Times New Roman"/>
        <family val="1"/>
      </rPr>
      <t xml:space="preserve"> is the calculated inventory of the core before correction (Cell E6)</t>
    </r>
  </si>
  <si>
    <t>A(0)</t>
  </si>
  <si>
    <t>e𝛌t - 1</t>
  </si>
  <si>
    <t xml:space="preserve">A(j) </t>
  </si>
  <si>
    <t>t = 𝚫Z/s</t>
  </si>
  <si>
    <t>Midpoint</t>
  </si>
  <si>
    <t>slope</t>
  </si>
  <si>
    <t>intercept</t>
  </si>
  <si>
    <t>Time</t>
  </si>
  <si>
    <t>Std. err slope</t>
  </si>
  <si>
    <t>Std. err. Intercept</t>
  </si>
  <si>
    <t>t</t>
  </si>
  <si>
    <r>
      <t>r</t>
    </r>
    <r>
      <rPr>
        <b/>
        <vertAlign val="superscript"/>
        <sz val="10"/>
        <rFont val="Arial"/>
        <family val="2"/>
      </rPr>
      <t>2</t>
    </r>
  </si>
  <si>
    <t>s(y)</t>
  </si>
  <si>
    <t>F</t>
  </si>
  <si>
    <t>degrees of freedom</t>
  </si>
  <si>
    <t>regression ss</t>
  </si>
  <si>
    <t>residual ss</t>
  </si>
  <si>
    <r>
      <t>g cm</t>
    </r>
    <r>
      <rPr>
        <vertAlign val="superscript"/>
        <sz val="10"/>
        <rFont val="Times New Roman"/>
        <family val="1"/>
      </rPr>
      <t>-2</t>
    </r>
    <r>
      <rPr>
        <sz val="10"/>
        <rFont val="Times New Roman"/>
        <family val="1"/>
      </rPr>
      <t xml:space="preserve"> yr</t>
    </r>
    <r>
      <rPr>
        <vertAlign val="superscript"/>
        <sz val="10"/>
        <rFont val="Times New Roman"/>
        <family val="1"/>
      </rPr>
      <t>-1</t>
    </r>
  </si>
  <si>
    <t>CFCS</t>
  </si>
  <si>
    <t>CF</t>
  </si>
  <si>
    <t>Age</t>
  </si>
  <si>
    <t>Depth</t>
  </si>
  <si>
    <t>mass depth</t>
  </si>
  <si>
    <t>0</t>
  </si>
  <si>
    <t>upper linest</t>
  </si>
  <si>
    <t>0-1</t>
  </si>
  <si>
    <t xml:space="preserve"> 1-2</t>
  </si>
  <si>
    <t xml:space="preserve"> 2-3</t>
  </si>
  <si>
    <t xml:space="preserve"> 3-4</t>
  </si>
  <si>
    <t xml:space="preserve"> 4-5</t>
  </si>
  <si>
    <t xml:space="preserve"> 5-6</t>
  </si>
  <si>
    <t xml:space="preserve"> 6-7</t>
  </si>
  <si>
    <t xml:space="preserve"> 7-8</t>
  </si>
  <si>
    <t xml:space="preserve"> 8-9</t>
  </si>
  <si>
    <t xml:space="preserve"> 9-10</t>
  </si>
  <si>
    <t xml:space="preserve"> 10-11</t>
  </si>
  <si>
    <t xml:space="preserve"> 11-12</t>
  </si>
  <si>
    <t xml:space="preserve"> 12-13</t>
  </si>
  <si>
    <t xml:space="preserve"> 13-14</t>
  </si>
  <si>
    <t xml:space="preserve"> 14-15</t>
  </si>
  <si>
    <t xml:space="preserve"> 15-16</t>
  </si>
  <si>
    <t xml:space="preserve"> 16-17</t>
  </si>
  <si>
    <t xml:space="preserve"> 17-18</t>
  </si>
  <si>
    <t xml:space="preserve"> 18-19</t>
  </si>
  <si>
    <t xml:space="preserve"> 19-20</t>
  </si>
  <si>
    <t xml:space="preserve"> 20-21</t>
  </si>
  <si>
    <t xml:space="preserve"> 21-22</t>
  </si>
  <si>
    <t xml:space="preserve"> 22-23</t>
  </si>
  <si>
    <t xml:space="preserve"> 23-24</t>
  </si>
  <si>
    <t xml:space="preserve"> 24-25</t>
  </si>
  <si>
    <t xml:space="preserve"> 25-26</t>
  </si>
  <si>
    <t xml:space="preserve"> 26-27</t>
  </si>
  <si>
    <t xml:space="preserve"> 27-28</t>
  </si>
  <si>
    <t xml:space="preserve"> 28-29</t>
  </si>
  <si>
    <t xml:space="preserve"> 29-30</t>
  </si>
  <si>
    <t xml:space="preserve"> 20-31</t>
  </si>
  <si>
    <t xml:space="preserve"> 31-32</t>
  </si>
  <si>
    <t xml:space="preserve"> 32-33</t>
  </si>
  <si>
    <t xml:space="preserve"> 33-34</t>
  </si>
  <si>
    <t xml:space="preserve"> 34-35</t>
  </si>
  <si>
    <t xml:space="preserve"> 35-36</t>
  </si>
  <si>
    <t xml:space="preserve"> 36-37</t>
  </si>
  <si>
    <t xml:space="preserve"> 37-38</t>
  </si>
  <si>
    <t xml:space="preserve"> 38-39</t>
  </si>
  <si>
    <t>39-40</t>
  </si>
  <si>
    <t xml:space="preserve"> 40-41</t>
  </si>
  <si>
    <t xml:space="preserve"> 41-42</t>
  </si>
  <si>
    <t xml:space="preserve"> 42-43</t>
  </si>
  <si>
    <t xml:space="preserve"> 43-44</t>
  </si>
  <si>
    <t xml:space="preserve"> 44-45</t>
  </si>
  <si>
    <t xml:space="preserve"> 45-46</t>
  </si>
  <si>
    <t xml:space="preserve"> 46-47</t>
  </si>
  <si>
    <t xml:space="preserve"> 47-48</t>
  </si>
  <si>
    <t>EXTRAPOLATED</t>
  </si>
  <si>
    <t>standard error</t>
  </si>
  <si>
    <t>r square</t>
  </si>
  <si>
    <t>ss</t>
  </si>
  <si>
    <t>lower linest</t>
  </si>
  <si>
    <t>u(r)</t>
  </si>
  <si>
    <t xml:space="preserve">upper linest </t>
  </si>
  <si>
    <t>upper SAR</t>
  </si>
  <si>
    <t>lower SAR</t>
  </si>
  <si>
    <t>uncert.</t>
  </si>
  <si>
    <t>MAR upper section</t>
  </si>
  <si>
    <t>MAR calculations for lower section/missing inventory</t>
  </si>
  <si>
    <t>cm/yr</t>
  </si>
  <si>
    <t xml:space="preserve">uncertainty </t>
  </si>
  <si>
    <t>Gales Creek 03 (GC-21-03 or GC-03)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</si>
</sst>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"/>
    <numFmt numFmtId="165" formatCode="0.000"/>
    <numFmt numFmtId="166" formatCode="0.0"/>
    <numFmt numFmtId="167" formatCode="0.00000"/>
    <numFmt numFmtId="168" formatCode="&quot;$&quot;#,##0.000"/>
    <numFmt numFmtId="169" formatCode="0.000000"/>
    <numFmt numFmtId="170" formatCode="0.0000000"/>
    <numFmt numFmtId="171" formatCode="0.000000000"/>
    <numFmt numFmtId="172" formatCode="0.00000000000"/>
  </numFmts>
  <fonts count="54">
    <font>
      <sz val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Symbol"/>
      <family val="1"/>
    </font>
    <font>
      <vertAlign val="superscript"/>
      <sz val="10"/>
      <name val="Times New Roman"/>
      <family val="1"/>
    </font>
    <font>
      <vertAlign val="subscript"/>
      <sz val="10"/>
      <name val="Times New Roman"/>
      <family val="1"/>
    </font>
    <font>
      <b/>
      <vertAlign val="subscript"/>
      <sz val="10"/>
      <name val="Times New Roman"/>
      <family val="1"/>
    </font>
    <font>
      <b/>
      <vertAlign val="superscript"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Symbol"/>
      <family val="1"/>
    </font>
    <font>
      <b/>
      <sz val="10"/>
      <name val="Calibri"/>
      <family val="2"/>
    </font>
    <font>
      <sz val="10"/>
      <color rgb="FF0000FF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Times New Roman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FF0000"/>
      <name val="Times New Roman"/>
      <family val="1"/>
    </font>
    <font>
      <b/>
      <sz val="16"/>
      <name val="Times New Roman"/>
      <family val="1"/>
    </font>
    <font>
      <b/>
      <sz val="20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72"/>
      <name val="Times New Roman"/>
      <family val="1"/>
    </font>
    <font>
      <sz val="12"/>
      <color rgb="FF000000"/>
      <name val="Calibri"/>
      <family val="2"/>
      <scheme val="minor"/>
    </font>
    <font>
      <b/>
      <sz val="12"/>
      <name val="Arial"/>
      <family val="2"/>
    </font>
    <font>
      <sz val="10"/>
      <color theme="1"/>
      <name val="Times New Roman"/>
      <family val="1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b/>
      <sz val="16"/>
      <color rgb="FFFF0000"/>
      <name val="Times New Roman"/>
      <family val="1"/>
    </font>
    <font>
      <sz val="14"/>
      <name val="Times New Roman"/>
      <family val="1"/>
    </font>
    <font>
      <b/>
      <sz val="14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Arial"/>
      <family val="2"/>
    </font>
    <font>
      <b/>
      <vertAlign val="superscript"/>
      <sz val="14"/>
      <name val="Times New Roman"/>
      <family val="1"/>
    </font>
    <font>
      <b/>
      <i/>
      <sz val="14"/>
      <name val="Times New Roman"/>
      <family val="1"/>
    </font>
    <font>
      <sz val="11"/>
      <color rgb="FFFF0000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rgb="FF808080"/>
      <name val="Calibri"/>
      <family val="2"/>
    </font>
    <font>
      <sz val="16"/>
      <color rgb="FFFF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4"/>
      <color indexed="10"/>
      <name val="Times New Roman"/>
      <family val="1"/>
    </font>
    <font>
      <sz val="14"/>
      <color indexed="10"/>
      <name val="Times New Roman"/>
      <family val="1"/>
    </font>
    <font>
      <sz val="12"/>
      <color indexed="10"/>
      <name val="Times New Roman"/>
      <family val="1"/>
    </font>
    <font>
      <vertAlign val="subscript"/>
      <sz val="12"/>
      <color indexed="10"/>
      <name val="Times New Roman"/>
      <family val="1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color rgb="FF000000"/>
      <name val="DejaVu Sans"/>
      <family val="2"/>
    </font>
    <font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8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353">
    <xf numFmtId="0" fontId="0" fillId="0" borderId="1"/>
    <xf numFmtId="38" fontId="2" fillId="0" borderId="0" applyFont="0" applyFill="0" applyBorder="0" applyAlignment="0" applyProtection="0"/>
    <xf numFmtId="0" fontId="2" fillId="0" borderId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17" fillId="0" borderId="1" applyNumberFormat="0" applyFill="0" applyBorder="0" applyAlignment="0" applyProtection="0"/>
    <xf numFmtId="0" fontId="18" fillId="0" borderId="1" applyNumberFormat="0" applyFill="0" applyBorder="0" applyAlignment="0" applyProtection="0"/>
    <xf numFmtId="0" fontId="43" fillId="0" borderId="1"/>
    <xf numFmtId="0" fontId="43" fillId="0" borderId="0"/>
  </cellStyleXfs>
  <cellXfs count="342">
    <xf numFmtId="0" fontId="0" fillId="0" borderId="1" xfId="0"/>
    <xf numFmtId="1" fontId="5" fillId="0" borderId="2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66" fontId="3" fillId="0" borderId="3" xfId="0" applyNumberFormat="1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center" vertical="top"/>
    </xf>
    <xf numFmtId="0" fontId="4" fillId="0" borderId="0" xfId="0" applyFont="1" applyBorder="1"/>
    <xf numFmtId="2" fontId="4" fillId="0" borderId="0" xfId="0" applyNumberFormat="1" applyFont="1" applyBorder="1"/>
    <xf numFmtId="164" fontId="4" fillId="0" borderId="0" xfId="0" applyNumberFormat="1" applyFont="1" applyBorder="1"/>
    <xf numFmtId="0" fontId="4" fillId="0" borderId="3" xfId="0" applyFont="1" applyBorder="1" applyAlignment="1">
      <alignment vertical="top"/>
    </xf>
    <xf numFmtId="1" fontId="3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 vertical="top"/>
    </xf>
    <xf numFmtId="1" fontId="3" fillId="0" borderId="3" xfId="0" applyNumberFormat="1" applyFont="1" applyBorder="1" applyAlignment="1">
      <alignment horizontal="center" vertical="top"/>
    </xf>
    <xf numFmtId="1" fontId="3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2" fontId="11" fillId="0" borderId="0" xfId="0" applyNumberFormat="1" applyFont="1" applyBorder="1"/>
    <xf numFmtId="0" fontId="11" fillId="0" borderId="0" xfId="0" applyFont="1" applyBorder="1"/>
    <xf numFmtId="0" fontId="4" fillId="0" borderId="3" xfId="0" applyFont="1" applyBorder="1"/>
    <xf numFmtId="0" fontId="3" fillId="0" borderId="0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 vertical="top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horizontal="left"/>
    </xf>
    <xf numFmtId="2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right"/>
    </xf>
    <xf numFmtId="0" fontId="3" fillId="0" borderId="0" xfId="0" applyFont="1" applyBorder="1"/>
    <xf numFmtId="0" fontId="4" fillId="0" borderId="0" xfId="0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164" fontId="4" fillId="0" borderId="3" xfId="0" applyNumberFormat="1" applyFont="1" applyBorder="1"/>
    <xf numFmtId="11" fontId="4" fillId="0" borderId="0" xfId="0" applyNumberFormat="1" applyFont="1" applyBorder="1"/>
    <xf numFmtId="0" fontId="10" fillId="0" borderId="0" xfId="0" applyFont="1" applyBorder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vertical="top"/>
    </xf>
    <xf numFmtId="2" fontId="4" fillId="0" borderId="3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2" fontId="3" fillId="0" borderId="0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6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165" fontId="4" fillId="0" borderId="0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 vertical="top"/>
    </xf>
    <xf numFmtId="0" fontId="14" fillId="0" borderId="0" xfId="0" applyFont="1" applyBorder="1"/>
    <xf numFmtId="0" fontId="0" fillId="0" borderId="0" xfId="0" applyBorder="1"/>
    <xf numFmtId="4" fontId="4" fillId="0" borderId="0" xfId="0" applyNumberFormat="1" applyFont="1" applyBorder="1"/>
    <xf numFmtId="2" fontId="15" fillId="4" borderId="0" xfId="0" applyNumberFormat="1" applyFont="1" applyFill="1" applyBorder="1" applyAlignment="1">
      <alignment horizontal="center"/>
    </xf>
    <xf numFmtId="2" fontId="4" fillId="4" borderId="0" xfId="0" applyNumberFormat="1" applyFont="1" applyFill="1" applyBorder="1" applyAlignment="1">
      <alignment horizontal="center"/>
    </xf>
    <xf numFmtId="0" fontId="16" fillId="0" borderId="1" xfId="0" applyFont="1" applyAlignment="1">
      <alignment horizontal="right"/>
    </xf>
    <xf numFmtId="167" fontId="16" fillId="0" borderId="1" xfId="0" applyNumberFormat="1" applyFont="1"/>
    <xf numFmtId="14" fontId="4" fillId="0" borderId="0" xfId="0" applyNumberFormat="1" applyFont="1" applyBorder="1"/>
    <xf numFmtId="14" fontId="4" fillId="0" borderId="0" xfId="0" applyNumberFormat="1" applyFont="1" applyBorder="1" applyAlignment="1">
      <alignment vertical="top"/>
    </xf>
    <xf numFmtId="165" fontId="4" fillId="0" borderId="0" xfId="0" applyNumberFormat="1" applyFont="1" applyBorder="1" applyAlignment="1">
      <alignment vertical="top"/>
    </xf>
    <xf numFmtId="0" fontId="4" fillId="0" borderId="13" xfId="0" applyFont="1" applyBorder="1"/>
    <xf numFmtId="2" fontId="4" fillId="0" borderId="13" xfId="0" applyNumberFormat="1" applyFont="1" applyBorder="1"/>
    <xf numFmtId="2" fontId="4" fillId="5" borderId="13" xfId="0" applyNumberFormat="1" applyFont="1" applyFill="1" applyBorder="1"/>
    <xf numFmtId="0" fontId="4" fillId="4" borderId="13" xfId="0" applyFont="1" applyFill="1" applyBorder="1"/>
    <xf numFmtId="0" fontId="3" fillId="0" borderId="13" xfId="0" applyFont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 vertical="top"/>
    </xf>
    <xf numFmtId="166" fontId="3" fillId="0" borderId="13" xfId="0" applyNumberFormat="1" applyFont="1" applyBorder="1" applyAlignment="1">
      <alignment horizontal="center" vertical="top"/>
    </xf>
    <xf numFmtId="2" fontId="3" fillId="0" borderId="13" xfId="0" applyNumberFormat="1" applyFont="1" applyBorder="1" applyAlignment="1">
      <alignment horizontal="center" vertical="top"/>
    </xf>
    <xf numFmtId="2" fontId="4" fillId="7" borderId="0" xfId="0" applyNumberFormat="1" applyFont="1" applyFill="1" applyBorder="1" applyAlignment="1">
      <alignment horizontal="left"/>
    </xf>
    <xf numFmtId="166" fontId="4" fillId="7" borderId="0" xfId="0" applyNumberFormat="1" applyFont="1" applyFill="1" applyBorder="1" applyAlignment="1">
      <alignment horizontal="left"/>
    </xf>
    <xf numFmtId="2" fontId="4" fillId="8" borderId="0" xfId="0" applyNumberFormat="1" applyFont="1" applyFill="1" applyBorder="1" applyAlignment="1">
      <alignment horizontal="center" vertical="center"/>
    </xf>
    <xf numFmtId="165" fontId="4" fillId="9" borderId="0" xfId="0" applyNumberFormat="1" applyFont="1" applyFill="1" applyBorder="1" applyAlignment="1">
      <alignment horizontal="center" vertical="center"/>
    </xf>
    <xf numFmtId="2" fontId="4" fillId="9" borderId="0" xfId="0" applyNumberFormat="1" applyFont="1" applyFill="1" applyBorder="1" applyAlignment="1">
      <alignment horizontal="center" vertical="center"/>
    </xf>
    <xf numFmtId="2" fontId="4" fillId="8" borderId="4" xfId="0" applyNumberFormat="1" applyFont="1" applyFill="1" applyBorder="1"/>
    <xf numFmtId="0" fontId="4" fillId="8" borderId="5" xfId="0" applyFont="1" applyFill="1" applyBorder="1"/>
    <xf numFmtId="1" fontId="3" fillId="9" borderId="2" xfId="0" applyNumberFormat="1" applyFont="1" applyFill="1" applyBorder="1" applyAlignment="1">
      <alignment horizontal="center"/>
    </xf>
    <xf numFmtId="1" fontId="3" fillId="9" borderId="3" xfId="0" applyNumberFormat="1" applyFont="1" applyFill="1" applyBorder="1" applyAlignment="1">
      <alignment horizontal="center" vertical="top"/>
    </xf>
    <xf numFmtId="2" fontId="4" fillId="9" borderId="0" xfId="0" applyNumberFormat="1" applyFont="1" applyFill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166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2" fontId="4" fillId="10" borderId="0" xfId="0" applyNumberFormat="1" applyFont="1" applyFill="1" applyBorder="1" applyAlignment="1">
      <alignment horizontal="left"/>
    </xf>
    <xf numFmtId="166" fontId="4" fillId="10" borderId="0" xfId="0" applyNumberFormat="1" applyFont="1" applyFill="1" applyBorder="1" applyAlignment="1">
      <alignment horizontal="left"/>
    </xf>
    <xf numFmtId="14" fontId="15" fillId="0" borderId="0" xfId="0" applyNumberFormat="1" applyFont="1" applyBorder="1" applyAlignment="1">
      <alignment horizontal="left"/>
    </xf>
    <xf numFmtId="15" fontId="4" fillId="0" borderId="0" xfId="0" applyNumberFormat="1" applyFont="1" applyBorder="1"/>
    <xf numFmtId="0" fontId="19" fillId="0" borderId="0" xfId="0" applyFont="1" applyBorder="1"/>
    <xf numFmtId="2" fontId="3" fillId="9" borderId="2" xfId="0" applyNumberFormat="1" applyFont="1" applyFill="1" applyBorder="1" applyAlignment="1">
      <alignment horizontal="center"/>
    </xf>
    <xf numFmtId="2" fontId="3" fillId="9" borderId="3" xfId="0" applyNumberFormat="1" applyFont="1" applyFill="1" applyBorder="1" applyAlignment="1">
      <alignment horizontal="center" vertical="top"/>
    </xf>
    <xf numFmtId="0" fontId="20" fillId="0" borderId="0" xfId="0" applyFont="1" applyBorder="1"/>
    <xf numFmtId="2" fontId="20" fillId="0" borderId="0" xfId="0" applyNumberFormat="1" applyFont="1" applyBorder="1"/>
    <xf numFmtId="0" fontId="21" fillId="0" borderId="0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22" fillId="0" borderId="0" xfId="0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5" borderId="0" xfId="0" applyFont="1" applyFill="1" applyBorder="1"/>
    <xf numFmtId="0" fontId="4" fillId="0" borderId="0" xfId="0" applyFont="1" applyBorder="1" applyAlignment="1">
      <alignment horizontal="left" vertical="top"/>
    </xf>
    <xf numFmtId="1" fontId="4" fillId="5" borderId="0" xfId="0" applyNumberFormat="1" applyFont="1" applyFill="1" applyBorder="1" applyAlignment="1">
      <alignment horizontal="center"/>
    </xf>
    <xf numFmtId="0" fontId="4" fillId="6" borderId="0" xfId="0" applyFont="1" applyFill="1" applyBorder="1" applyAlignment="1">
      <alignment horizontal="left"/>
    </xf>
    <xf numFmtId="0" fontId="24" fillId="0" borderId="0" xfId="0" applyFont="1" applyBorder="1" applyAlignment="1">
      <alignment horizontal="center"/>
    </xf>
    <xf numFmtId="2" fontId="10" fillId="0" borderId="0" xfId="0" applyNumberFormat="1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2" fontId="10" fillId="0" borderId="0" xfId="0" applyNumberFormat="1" applyFont="1" applyBorder="1" applyAlignment="1">
      <alignment horizontal="left"/>
    </xf>
    <xf numFmtId="2" fontId="4" fillId="0" borderId="17" xfId="0" applyNumberFormat="1" applyFont="1" applyBorder="1" applyAlignment="1">
      <alignment horizontal="center"/>
    </xf>
    <xf numFmtId="2" fontId="4" fillId="0" borderId="19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0" fontId="26" fillId="0" borderId="0" xfId="0" applyFont="1" applyBorder="1"/>
    <xf numFmtId="165" fontId="4" fillId="0" borderId="0" xfId="0" applyNumberFormat="1" applyFont="1" applyBorder="1"/>
    <xf numFmtId="2" fontId="0" fillId="0" borderId="13" xfId="0" applyNumberFormat="1" applyBorder="1"/>
    <xf numFmtId="2" fontId="4" fillId="13" borderId="13" xfId="0" applyNumberFormat="1" applyFont="1" applyFill="1" applyBorder="1"/>
    <xf numFmtId="0" fontId="4" fillId="13" borderId="13" xfId="0" applyFont="1" applyFill="1" applyBorder="1"/>
    <xf numFmtId="0" fontId="25" fillId="0" borderId="0" xfId="0" applyFont="1" applyBorder="1"/>
    <xf numFmtId="0" fontId="10" fillId="0" borderId="0" xfId="0" applyFont="1" applyBorder="1" applyAlignment="1">
      <alignment horizontal="center"/>
    </xf>
    <xf numFmtId="2" fontId="23" fillId="0" borderId="0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2" fontId="4" fillId="2" borderId="0" xfId="0" applyNumberFormat="1" applyFont="1" applyFill="1" applyBorder="1" applyAlignment="1">
      <alignment horizontal="center"/>
    </xf>
    <xf numFmtId="0" fontId="10" fillId="7" borderId="0" xfId="0" applyFont="1" applyFill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2" fontId="10" fillId="7" borderId="0" xfId="0" applyNumberFormat="1" applyFont="1" applyFill="1" applyBorder="1" applyAlignment="1">
      <alignment horizontal="center"/>
    </xf>
    <xf numFmtId="0" fontId="23" fillId="0" borderId="0" xfId="0" applyFont="1" applyBorder="1" applyAlignment="1">
      <alignment vertical="top"/>
    </xf>
    <xf numFmtId="2" fontId="3" fillId="2" borderId="0" xfId="0" applyNumberFormat="1" applyFont="1" applyFill="1" applyBorder="1" applyAlignment="1">
      <alignment horizontal="center"/>
    </xf>
    <xf numFmtId="15" fontId="4" fillId="0" borderId="0" xfId="0" applyNumberFormat="1" applyFont="1" applyBorder="1" applyAlignment="1">
      <alignment horizontal="left"/>
    </xf>
    <xf numFmtId="166" fontId="4" fillId="13" borderId="13" xfId="0" applyNumberFormat="1" applyFont="1" applyFill="1" applyBorder="1"/>
    <xf numFmtId="166" fontId="3" fillId="13" borderId="13" xfId="0" applyNumberFormat="1" applyFont="1" applyFill="1" applyBorder="1" applyAlignment="1">
      <alignment horizontal="center"/>
    </xf>
    <xf numFmtId="0" fontId="3" fillId="13" borderId="13" xfId="0" applyFont="1" applyFill="1" applyBorder="1" applyAlignment="1">
      <alignment horizontal="center"/>
    </xf>
    <xf numFmtId="166" fontId="3" fillId="13" borderId="13" xfId="0" applyNumberFormat="1" applyFont="1" applyFill="1" applyBorder="1" applyAlignment="1">
      <alignment horizontal="center" vertical="top"/>
    </xf>
    <xf numFmtId="0" fontId="3" fillId="13" borderId="13" xfId="0" applyFont="1" applyFill="1" applyBorder="1" applyAlignment="1">
      <alignment horizontal="center" vertical="top"/>
    </xf>
    <xf numFmtId="166" fontId="4" fillId="13" borderId="0" xfId="0" applyNumberFormat="1" applyFont="1" applyFill="1" applyBorder="1"/>
    <xf numFmtId="0" fontId="4" fillId="13" borderId="0" xfId="0" applyFont="1" applyFill="1" applyBorder="1"/>
    <xf numFmtId="2" fontId="4" fillId="11" borderId="13" xfId="0" applyNumberFormat="1" applyFont="1" applyFill="1" applyBorder="1"/>
    <xf numFmtId="2" fontId="3" fillId="11" borderId="13" xfId="0" applyNumberFormat="1" applyFont="1" applyFill="1" applyBorder="1" applyAlignment="1">
      <alignment horizontal="center"/>
    </xf>
    <xf numFmtId="2" fontId="3" fillId="11" borderId="13" xfId="0" applyNumberFormat="1" applyFont="1" applyFill="1" applyBorder="1" applyAlignment="1">
      <alignment horizontal="center" vertical="top"/>
    </xf>
    <xf numFmtId="2" fontId="4" fillId="11" borderId="21" xfId="0" applyNumberFormat="1" applyFont="1" applyFill="1" applyBorder="1"/>
    <xf numFmtId="2" fontId="4" fillId="11" borderId="0" xfId="0" applyNumberFormat="1" applyFont="1" applyFill="1" applyBorder="1"/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2" xfId="0" applyFont="1" applyBorder="1" applyAlignment="1">
      <alignment horizontal="center" vertical="top"/>
    </xf>
    <xf numFmtId="0" fontId="4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166" fontId="31" fillId="0" borderId="0" xfId="0" applyNumberFormat="1" applyFont="1" applyBorder="1" applyAlignment="1">
      <alignment horizontal="center"/>
    </xf>
    <xf numFmtId="164" fontId="31" fillId="11" borderId="0" xfId="0" applyNumberFormat="1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left"/>
    </xf>
    <xf numFmtId="2" fontId="4" fillId="13" borderId="0" xfId="0" applyNumberFormat="1" applyFont="1" applyFill="1" applyBorder="1" applyAlignment="1">
      <alignment horizontal="center"/>
    </xf>
    <xf numFmtId="0" fontId="27" fillId="0" borderId="0" xfId="0" applyFont="1" applyBorder="1" applyAlignment="1">
      <alignment horizontal="center"/>
    </xf>
    <xf numFmtId="166" fontId="4" fillId="5" borderId="0" xfId="0" applyNumberFormat="1" applyFont="1" applyFill="1" applyBorder="1" applyAlignment="1">
      <alignment horizontal="center"/>
    </xf>
    <xf numFmtId="2" fontId="4" fillId="5" borderId="0" xfId="0" applyNumberFormat="1" applyFont="1" applyFill="1" applyBorder="1" applyAlignment="1">
      <alignment horizontal="center"/>
    </xf>
    <xf numFmtId="1" fontId="9" fillId="5" borderId="0" xfId="0" applyNumberFormat="1" applyFont="1" applyFill="1" applyBorder="1" applyAlignment="1">
      <alignment horizontal="center"/>
    </xf>
    <xf numFmtId="1" fontId="3" fillId="5" borderId="0" xfId="0" applyNumberFormat="1" applyFont="1" applyFill="1" applyBorder="1" applyAlignment="1">
      <alignment horizontal="center"/>
    </xf>
    <xf numFmtId="2" fontId="10" fillId="5" borderId="0" xfId="0" applyNumberFormat="1" applyFont="1" applyFill="1" applyBorder="1" applyAlignment="1">
      <alignment horizontal="left"/>
    </xf>
    <xf numFmtId="165" fontId="23" fillId="11" borderId="0" xfId="0" applyNumberFormat="1" applyFont="1" applyFill="1" applyBorder="1" applyAlignment="1">
      <alignment horizontal="center"/>
    </xf>
    <xf numFmtId="1" fontId="4" fillId="5" borderId="16" xfId="0" applyNumberFormat="1" applyFont="1" applyFill="1" applyBorder="1" applyAlignment="1">
      <alignment horizontal="center"/>
    </xf>
    <xf numFmtId="166" fontId="4" fillId="5" borderId="16" xfId="0" applyNumberFormat="1" applyFont="1" applyFill="1" applyBorder="1" applyAlignment="1">
      <alignment horizontal="center"/>
    </xf>
    <xf numFmtId="2" fontId="4" fillId="5" borderId="16" xfId="0" applyNumberFormat="1" applyFont="1" applyFill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1" fontId="34" fillId="5" borderId="0" xfId="0" applyNumberFormat="1" applyFont="1" applyFill="1" applyBorder="1" applyAlignment="1">
      <alignment horizontal="center"/>
    </xf>
    <xf numFmtId="0" fontId="35" fillId="0" borderId="0" xfId="0" applyFont="1" applyBorder="1" applyAlignment="1">
      <alignment horizontal="left"/>
    </xf>
    <xf numFmtId="0" fontId="4" fillId="4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top"/>
    </xf>
    <xf numFmtId="166" fontId="3" fillId="2" borderId="2" xfId="0" applyNumberFormat="1" applyFont="1" applyFill="1" applyBorder="1" applyAlignment="1">
      <alignment horizontal="center"/>
    </xf>
    <xf numFmtId="0" fontId="23" fillId="0" borderId="0" xfId="0" applyFont="1" applyBorder="1" applyAlignment="1">
      <alignment horizontal="left"/>
    </xf>
    <xf numFmtId="165" fontId="23" fillId="0" borderId="0" xfId="0" applyNumberFormat="1" applyFont="1" applyBorder="1" applyAlignment="1">
      <alignment horizontal="left"/>
    </xf>
    <xf numFmtId="0" fontId="4" fillId="0" borderId="2" xfId="0" applyFont="1" applyBorder="1"/>
    <xf numFmtId="166" fontId="4" fillId="0" borderId="0" xfId="0" applyNumberFormat="1" applyFont="1" applyBorder="1"/>
    <xf numFmtId="2" fontId="23" fillId="0" borderId="0" xfId="0" applyNumberFormat="1" applyFont="1" applyBorder="1" applyAlignment="1">
      <alignment horizontal="left"/>
    </xf>
    <xf numFmtId="0" fontId="15" fillId="0" borderId="0" xfId="0" applyFont="1" applyBorder="1"/>
    <xf numFmtId="0" fontId="36" fillId="0" borderId="0" xfId="0" applyFont="1" applyBorder="1"/>
    <xf numFmtId="0" fontId="4" fillId="0" borderId="0" xfId="0" applyFont="1" applyBorder="1" applyAlignment="1">
      <alignment horizontal="centerContinuous"/>
    </xf>
    <xf numFmtId="2" fontId="4" fillId="0" borderId="0" xfId="0" applyNumberFormat="1" applyFont="1" applyBorder="1" applyAlignment="1">
      <alignment horizontal="centerContinuous"/>
    </xf>
    <xf numFmtId="1" fontId="23" fillId="0" borderId="0" xfId="0" applyNumberFormat="1" applyFont="1" applyBorder="1" applyAlignment="1">
      <alignment horizontal="center"/>
    </xf>
    <xf numFmtId="1" fontId="11" fillId="0" borderId="15" xfId="0" applyNumberFormat="1" applyFont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2" fontId="11" fillId="0" borderId="16" xfId="0" applyNumberFormat="1" applyFont="1" applyBorder="1" applyAlignment="1">
      <alignment horizontal="center"/>
    </xf>
    <xf numFmtId="1" fontId="11" fillId="5" borderId="18" xfId="0" applyNumberFormat="1" applyFont="1" applyFill="1" applyBorder="1" applyAlignment="1">
      <alignment horizontal="center"/>
    </xf>
    <xf numFmtId="1" fontId="11" fillId="5" borderId="0" xfId="0" applyNumberFormat="1" applyFont="1" applyFill="1" applyBorder="1" applyAlignment="1">
      <alignment horizontal="center"/>
    </xf>
    <xf numFmtId="166" fontId="11" fillId="5" borderId="0" xfId="0" applyNumberFormat="1" applyFont="1" applyFill="1" applyBorder="1" applyAlignment="1">
      <alignment horizontal="center"/>
    </xf>
    <xf numFmtId="2" fontId="11" fillId="5" borderId="0" xfId="0" applyNumberFormat="1" applyFont="1" applyFill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0" xfId="0" applyNumberFormat="1" applyFont="1" applyBorder="1" applyAlignment="1">
      <alignment horizontal="center"/>
    </xf>
    <xf numFmtId="2" fontId="31" fillId="0" borderId="0" xfId="0" applyNumberFormat="1" applyFont="1" applyBorder="1" applyAlignment="1">
      <alignment horizontal="center"/>
    </xf>
    <xf numFmtId="1" fontId="31" fillId="7" borderId="0" xfId="0" applyNumberFormat="1" applyFont="1" applyFill="1" applyBorder="1" applyAlignment="1">
      <alignment horizontal="center"/>
    </xf>
    <xf numFmtId="1" fontId="37" fillId="7" borderId="7" xfId="0" applyNumberFormat="1" applyFont="1" applyFill="1" applyBorder="1" applyAlignment="1">
      <alignment horizontal="center"/>
    </xf>
    <xf numFmtId="1" fontId="31" fillId="7" borderId="2" xfId="0" applyNumberFormat="1" applyFont="1" applyFill="1" applyBorder="1" applyAlignment="1">
      <alignment horizontal="center"/>
    </xf>
    <xf numFmtId="1" fontId="23" fillId="7" borderId="12" xfId="0" applyNumberFormat="1" applyFont="1" applyFill="1" applyBorder="1" applyAlignment="1">
      <alignment horizontal="center"/>
    </xf>
    <xf numFmtId="1" fontId="23" fillId="7" borderId="8" xfId="0" applyNumberFormat="1" applyFont="1" applyFill="1" applyBorder="1" applyAlignment="1">
      <alignment horizontal="center"/>
    </xf>
    <xf numFmtId="166" fontId="31" fillId="7" borderId="9" xfId="0" applyNumberFormat="1" applyFont="1" applyFill="1" applyBorder="1" applyAlignment="1">
      <alignment horizontal="center"/>
    </xf>
    <xf numFmtId="1" fontId="31" fillId="7" borderId="10" xfId="0" applyNumberFormat="1" applyFont="1" applyFill="1" applyBorder="1" applyAlignment="1">
      <alignment horizontal="center"/>
    </xf>
    <xf numFmtId="165" fontId="31" fillId="7" borderId="3" xfId="0" applyNumberFormat="1" applyFont="1" applyFill="1" applyBorder="1" applyAlignment="1">
      <alignment horizontal="center"/>
    </xf>
    <xf numFmtId="2" fontId="31" fillId="7" borderId="11" xfId="0" applyNumberFormat="1" applyFont="1" applyFill="1" applyBorder="1" applyAlignment="1">
      <alignment horizontal="center"/>
    </xf>
    <xf numFmtId="1" fontId="38" fillId="0" borderId="0" xfId="0" applyNumberFormat="1" applyFont="1" applyBorder="1" applyAlignment="1">
      <alignment horizontal="left"/>
    </xf>
    <xf numFmtId="2" fontId="11" fillId="0" borderId="22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2" fontId="4" fillId="0" borderId="22" xfId="0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right" wrapText="1"/>
    </xf>
    <xf numFmtId="0" fontId="40" fillId="0" borderId="0" xfId="0" applyFont="1" applyBorder="1"/>
    <xf numFmtId="0" fontId="0" fillId="0" borderId="0" xfId="0" applyBorder="1" applyAlignment="1">
      <alignment wrapText="1"/>
    </xf>
    <xf numFmtId="0" fontId="41" fillId="0" borderId="0" xfId="0" applyFont="1" applyBorder="1"/>
    <xf numFmtId="0" fontId="42" fillId="0" borderId="0" xfId="0" applyFont="1" applyBorder="1"/>
    <xf numFmtId="0" fontId="39" fillId="0" borderId="0" xfId="0" applyFont="1" applyBorder="1" applyAlignment="1">
      <alignment horizontal="right"/>
    </xf>
    <xf numFmtId="14" fontId="39" fillId="0" borderId="0" xfId="0" applyNumberFormat="1" applyFont="1" applyBorder="1" applyAlignment="1">
      <alignment horizontal="right"/>
    </xf>
    <xf numFmtId="0" fontId="39" fillId="0" borderId="0" xfId="0" applyFont="1" applyBorder="1"/>
    <xf numFmtId="0" fontId="27" fillId="0" borderId="0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top"/>
    </xf>
    <xf numFmtId="165" fontId="3" fillId="0" borderId="0" xfId="0" applyNumberFormat="1" applyFont="1" applyBorder="1" applyAlignment="1">
      <alignment horizontal="center" vertical="top"/>
    </xf>
    <xf numFmtId="0" fontId="3" fillId="0" borderId="21" xfId="0" applyFont="1" applyBorder="1" applyAlignment="1">
      <alignment horizontal="center" vertical="top"/>
    </xf>
    <xf numFmtId="165" fontId="3" fillId="0" borderId="21" xfId="0" applyNumberFormat="1" applyFont="1" applyBorder="1" applyAlignment="1">
      <alignment horizontal="center" vertical="top"/>
    </xf>
    <xf numFmtId="164" fontId="4" fillId="0" borderId="0" xfId="0" applyNumberFormat="1" applyFont="1" applyBorder="1" applyAlignment="1">
      <alignment horizontal="right"/>
    </xf>
    <xf numFmtId="165" fontId="4" fillId="0" borderId="0" xfId="0" applyNumberFormat="1" applyFont="1" applyBorder="1" applyAlignment="1">
      <alignment horizontal="right"/>
    </xf>
    <xf numFmtId="165" fontId="15" fillId="0" borderId="0" xfId="0" applyNumberFormat="1" applyFont="1" applyBorder="1" applyAlignment="1">
      <alignment horizontal="center" vertical="center"/>
    </xf>
    <xf numFmtId="2" fontId="15" fillId="0" borderId="0" xfId="0" applyNumberFormat="1" applyFont="1" applyBorder="1" applyAlignment="1">
      <alignment horizontal="center" vertical="center"/>
    </xf>
    <xf numFmtId="165" fontId="15" fillId="9" borderId="0" xfId="0" applyNumberFormat="1" applyFont="1" applyFill="1" applyBorder="1" applyAlignment="1">
      <alignment horizontal="center" vertical="center"/>
    </xf>
    <xf numFmtId="0" fontId="30" fillId="0" borderId="0" xfId="0" applyFont="1" applyBorder="1" applyAlignment="1">
      <alignment horizontal="center"/>
    </xf>
    <xf numFmtId="0" fontId="21" fillId="0" borderId="0" xfId="0" applyFont="1" applyBorder="1" applyAlignment="1">
      <alignment vertical="top"/>
    </xf>
    <xf numFmtId="0" fontId="21" fillId="0" borderId="0" xfId="0" applyFont="1" applyBorder="1"/>
    <xf numFmtId="0" fontId="19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top"/>
    </xf>
    <xf numFmtId="2" fontId="16" fillId="11" borderId="13" xfId="0" applyNumberFormat="1" applyFont="1" applyFill="1" applyBorder="1"/>
    <xf numFmtId="164" fontId="4" fillId="8" borderId="14" xfId="0" applyNumberFormat="1" applyFont="1" applyFill="1" applyBorder="1"/>
    <xf numFmtId="0" fontId="44" fillId="0" borderId="0" xfId="0" applyFont="1" applyBorder="1"/>
    <xf numFmtId="0" fontId="44" fillId="0" borderId="23" xfId="0" applyFont="1" applyBorder="1" applyAlignment="1">
      <alignment horizontal="right"/>
    </xf>
    <xf numFmtId="0" fontId="44" fillId="0" borderId="24" xfId="0" applyFont="1" applyBorder="1" applyAlignment="1">
      <alignment horizontal="right"/>
    </xf>
    <xf numFmtId="0" fontId="44" fillId="0" borderId="25" xfId="0" applyFont="1" applyBorder="1"/>
    <xf numFmtId="168" fontId="4" fillId="0" borderId="0" xfId="0" applyNumberFormat="1" applyFont="1" applyBorder="1"/>
    <xf numFmtId="166" fontId="33" fillId="0" borderId="1" xfId="0" applyNumberFormat="1" applyFont="1" applyAlignment="1">
      <alignment horizontal="center"/>
    </xf>
    <xf numFmtId="1" fontId="33" fillId="0" borderId="1" xfId="0" applyNumberFormat="1" applyFont="1" applyAlignment="1">
      <alignment horizontal="center"/>
    </xf>
    <xf numFmtId="0" fontId="33" fillId="0" borderId="0" xfId="0" applyFont="1" applyBorder="1" applyAlignment="1">
      <alignment horizontal="center"/>
    </xf>
    <xf numFmtId="0" fontId="33" fillId="0" borderId="1" xfId="0" applyFont="1" applyAlignment="1">
      <alignment horizontal="center"/>
    </xf>
    <xf numFmtId="0" fontId="15" fillId="0" borderId="1" xfId="0" applyFont="1" applyAlignment="1">
      <alignment horizontal="center"/>
    </xf>
    <xf numFmtId="2" fontId="15" fillId="0" borderId="0" xfId="0" applyNumberFormat="1" applyFont="1" applyBorder="1" applyAlignment="1">
      <alignment horizontal="center"/>
    </xf>
    <xf numFmtId="9" fontId="19" fillId="0" borderId="0" xfId="0" applyNumberFormat="1" applyFont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/>
    </xf>
    <xf numFmtId="0" fontId="0" fillId="0" borderId="18" xfId="0" applyBorder="1"/>
    <xf numFmtId="0" fontId="4" fillId="0" borderId="18" xfId="0" applyFont="1" applyBorder="1"/>
    <xf numFmtId="2" fontId="50" fillId="0" borderId="0" xfId="0" applyNumberFormat="1" applyFont="1" applyBorder="1"/>
    <xf numFmtId="0" fontId="30" fillId="0" borderId="0" xfId="0" applyFont="1" applyBorder="1"/>
    <xf numFmtId="0" fontId="23" fillId="0" borderId="0" xfId="0" applyFont="1" applyBorder="1"/>
    <xf numFmtId="0" fontId="10" fillId="0" borderId="0" xfId="0" applyFont="1" applyBorder="1" applyAlignment="1">
      <alignment horizontal="centerContinuous"/>
    </xf>
    <xf numFmtId="0" fontId="4" fillId="2" borderId="26" xfId="0" applyFont="1" applyFill="1" applyBorder="1"/>
    <xf numFmtId="0" fontId="19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2" borderId="5" xfId="0" applyNumberFormat="1" applyFill="1" applyBorder="1"/>
    <xf numFmtId="0" fontId="50" fillId="2" borderId="13" xfId="0" applyFont="1" applyFill="1" applyBorder="1"/>
    <xf numFmtId="165" fontId="4" fillId="12" borderId="13" xfId="0" applyNumberFormat="1" applyFont="1" applyFill="1" applyBorder="1" applyAlignment="1">
      <alignment horizontal="center" vertical="center"/>
    </xf>
    <xf numFmtId="165" fontId="4" fillId="7" borderId="13" xfId="0" applyNumberFormat="1" applyFont="1" applyFill="1" applyBorder="1" applyAlignment="1">
      <alignment horizontal="center" vertical="center"/>
    </xf>
    <xf numFmtId="2" fontId="4" fillId="12" borderId="13" xfId="0" applyNumberFormat="1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right"/>
    </xf>
    <xf numFmtId="2" fontId="4" fillId="14" borderId="0" xfId="0" applyNumberFormat="1" applyFont="1" applyFill="1" applyBorder="1"/>
    <xf numFmtId="2" fontId="4" fillId="13" borderId="6" xfId="0" applyNumberFormat="1" applyFont="1" applyFill="1" applyBorder="1"/>
    <xf numFmtId="167" fontId="4" fillId="13" borderId="0" xfId="0" applyNumberFormat="1" applyFont="1" applyFill="1" applyBorder="1" applyAlignment="1">
      <alignment horizontal="center"/>
    </xf>
    <xf numFmtId="0" fontId="50" fillId="6" borderId="13" xfId="0" applyFont="1" applyFill="1" applyBorder="1"/>
    <xf numFmtId="0" fontId="50" fillId="6" borderId="13" xfId="0" applyFont="1" applyFill="1" applyBorder="1" applyAlignment="1">
      <alignment horizontal="right"/>
    </xf>
    <xf numFmtId="0" fontId="4" fillId="0" borderId="0" xfId="0" applyFont="1" applyBorder="1" applyAlignment="1">
      <alignment horizontal="left" vertical="center"/>
    </xf>
    <xf numFmtId="165" fontId="34" fillId="0" borderId="0" xfId="0" applyNumberFormat="1" applyFont="1" applyBorder="1" applyAlignment="1">
      <alignment vertical="top"/>
    </xf>
    <xf numFmtId="0" fontId="4" fillId="2" borderId="13" xfId="0" applyFont="1" applyFill="1" applyBorder="1"/>
    <xf numFmtId="2" fontId="4" fillId="13" borderId="12" xfId="0" applyNumberFormat="1" applyFont="1" applyFill="1" applyBorder="1"/>
    <xf numFmtId="2" fontId="4" fillId="13" borderId="21" xfId="0" applyNumberFormat="1" applyFont="1" applyFill="1" applyBorder="1"/>
    <xf numFmtId="0" fontId="0" fillId="13" borderId="0" xfId="0" applyFill="1" applyBorder="1"/>
    <xf numFmtId="2" fontId="0" fillId="13" borderId="13" xfId="0" applyNumberFormat="1" applyFill="1" applyBorder="1"/>
    <xf numFmtId="0" fontId="4" fillId="13" borderId="21" xfId="0" applyFont="1" applyFill="1" applyBorder="1"/>
    <xf numFmtId="0" fontId="0" fillId="0" borderId="0" xfId="0" applyBorder="1" applyAlignment="1">
      <alignment horizontal="center" vertical="center"/>
    </xf>
    <xf numFmtId="165" fontId="4" fillId="0" borderId="3" xfId="0" applyNumberFormat="1" applyFont="1" applyBorder="1"/>
    <xf numFmtId="165" fontId="4" fillId="8" borderId="6" xfId="0" applyNumberFormat="1" applyFont="1" applyFill="1" applyBorder="1"/>
    <xf numFmtId="0" fontId="0" fillId="2" borderId="13" xfId="0" applyFill="1" applyBorder="1" applyAlignment="1">
      <alignment horizontal="center"/>
    </xf>
    <xf numFmtId="2" fontId="22" fillId="0" borderId="21" xfId="0" applyNumberFormat="1" applyFont="1" applyBorder="1"/>
    <xf numFmtId="164" fontId="4" fillId="13" borderId="13" xfId="0" applyNumberFormat="1" applyFont="1" applyFill="1" applyBorder="1"/>
    <xf numFmtId="14" fontId="4" fillId="0" borderId="4" xfId="0" applyNumberFormat="1" applyFont="1" applyBorder="1" applyAlignment="1">
      <alignment horizontal="right" vertical="center"/>
    </xf>
    <xf numFmtId="0" fontId="51" fillId="0" borderId="13" xfId="0" applyFont="1" applyBorder="1"/>
    <xf numFmtId="0" fontId="51" fillId="0" borderId="0" xfId="0" applyFont="1" applyBorder="1" applyAlignment="1">
      <alignment horizontal="center"/>
    </xf>
    <xf numFmtId="0" fontId="51" fillId="0" borderId="0" xfId="0" applyFont="1" applyBorder="1"/>
    <xf numFmtId="0" fontId="51" fillId="2" borderId="13" xfId="0" applyFont="1" applyFill="1" applyBorder="1" applyAlignment="1">
      <alignment horizontal="center" vertical="center"/>
    </xf>
    <xf numFmtId="0" fontId="51" fillId="2" borderId="13" xfId="0" applyFont="1" applyFill="1" applyBorder="1" applyAlignment="1">
      <alignment horizontal="right" vertical="center"/>
    </xf>
    <xf numFmtId="0" fontId="51" fillId="2" borderId="13" xfId="0" applyFont="1" applyFill="1" applyBorder="1" applyAlignment="1">
      <alignment horizontal="right"/>
    </xf>
    <xf numFmtId="2" fontId="51" fillId="2" borderId="13" xfId="0" applyNumberFormat="1" applyFont="1" applyFill="1" applyBorder="1" applyAlignment="1">
      <alignment horizontal="right" vertical="center"/>
    </xf>
    <xf numFmtId="2" fontId="4" fillId="2" borderId="13" xfId="0" applyNumberFormat="1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51" fillId="2" borderId="13" xfId="0" applyFont="1" applyFill="1" applyBorder="1"/>
    <xf numFmtId="165" fontId="51" fillId="2" borderId="13" xfId="351" applyNumberFormat="1" applyFont="1" applyFill="1" applyBorder="1" applyAlignment="1">
      <alignment horizontal="right"/>
    </xf>
    <xf numFmtId="0" fontId="51" fillId="2" borderId="13" xfId="351" applyFont="1" applyFill="1" applyBorder="1" applyAlignment="1">
      <alignment horizontal="right"/>
    </xf>
    <xf numFmtId="165" fontId="51" fillId="2" borderId="13" xfId="0" applyNumberFormat="1" applyFont="1" applyFill="1" applyBorder="1" applyAlignment="1">
      <alignment horizontal="right"/>
    </xf>
    <xf numFmtId="0" fontId="4" fillId="2" borderId="13" xfId="0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center" vertical="center"/>
    </xf>
    <xf numFmtId="165" fontId="0" fillId="6" borderId="13" xfId="0" applyNumberFormat="1" applyFill="1" applyBorder="1"/>
    <xf numFmtId="2" fontId="51" fillId="0" borderId="13" xfId="0" applyNumberFormat="1" applyFont="1" applyBorder="1"/>
    <xf numFmtId="166" fontId="4" fillId="3" borderId="0" xfId="0" applyNumberFormat="1" applyFont="1" applyFill="1" applyBorder="1"/>
    <xf numFmtId="0" fontId="0" fillId="3" borderId="13" xfId="0" applyFill="1" applyBorder="1" applyAlignment="1">
      <alignment horizontal="center"/>
    </xf>
    <xf numFmtId="49" fontId="0" fillId="3" borderId="5" xfId="0" applyNumberFormat="1" applyFill="1" applyBorder="1"/>
    <xf numFmtId="2" fontId="4" fillId="3" borderId="0" xfId="0" applyNumberFormat="1" applyFont="1" applyFill="1" applyBorder="1" applyAlignment="1">
      <alignment horizontal="center" vertical="top"/>
    </xf>
    <xf numFmtId="2" fontId="4" fillId="3" borderId="0" xfId="0" applyNumberFormat="1" applyFont="1" applyFill="1" applyBorder="1" applyAlignment="1">
      <alignment horizontal="center"/>
    </xf>
    <xf numFmtId="167" fontId="4" fillId="3" borderId="0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167" fontId="4" fillId="0" borderId="0" xfId="0" applyNumberFormat="1" applyFont="1" applyBorder="1" applyAlignment="1">
      <alignment horizontal="center"/>
    </xf>
    <xf numFmtId="167" fontId="3" fillId="2" borderId="0" xfId="0" applyNumberFormat="1" applyFont="1" applyFill="1" applyBorder="1" applyAlignment="1">
      <alignment horizontal="center"/>
    </xf>
    <xf numFmtId="167" fontId="3" fillId="0" borderId="0" xfId="0" applyNumberFormat="1" applyFont="1" applyBorder="1" applyAlignment="1">
      <alignment horizontal="center"/>
    </xf>
    <xf numFmtId="167" fontId="4" fillId="2" borderId="0" xfId="0" applyNumberFormat="1" applyFont="1" applyFill="1" applyBorder="1" applyAlignment="1">
      <alignment horizontal="center"/>
    </xf>
    <xf numFmtId="169" fontId="4" fillId="0" borderId="13" xfId="0" applyNumberFormat="1" applyFont="1" applyBorder="1"/>
    <xf numFmtId="170" fontId="31" fillId="11" borderId="0" xfId="0" applyNumberFormat="1" applyFont="1" applyFill="1" applyBorder="1" applyAlignment="1">
      <alignment horizontal="center"/>
    </xf>
    <xf numFmtId="170" fontId="4" fillId="0" borderId="0" xfId="0" applyNumberFormat="1" applyFont="1" applyBorder="1"/>
    <xf numFmtId="172" fontId="4" fillId="11" borderId="0" xfId="0" applyNumberFormat="1" applyFont="1" applyFill="1" applyBorder="1" applyAlignment="1">
      <alignment horizontal="left"/>
    </xf>
    <xf numFmtId="171" fontId="4" fillId="0" borderId="3" xfId="0" applyNumberFormat="1" applyFont="1" applyBorder="1" applyAlignment="1">
      <alignment horizontal="left"/>
    </xf>
    <xf numFmtId="169" fontId="4" fillId="0" borderId="0" xfId="0" applyNumberFormat="1" applyFont="1" applyBorder="1" applyAlignment="1">
      <alignment horizontal="center"/>
    </xf>
    <xf numFmtId="169" fontId="0" fillId="2" borderId="13" xfId="0" applyNumberFormat="1" applyFill="1" applyBorder="1" applyAlignment="1">
      <alignment horizontal="center"/>
    </xf>
    <xf numFmtId="170" fontId="4" fillId="4" borderId="0" xfId="0" applyNumberFormat="1" applyFont="1" applyFill="1" applyBorder="1" applyAlignment="1">
      <alignment horizontal="center"/>
    </xf>
    <xf numFmtId="169" fontId="52" fillId="4" borderId="1" xfId="0" applyNumberFormat="1" applyFont="1" applyFill="1"/>
    <xf numFmtId="167" fontId="4" fillId="4" borderId="0" xfId="0" applyNumberFormat="1" applyFont="1" applyFill="1" applyBorder="1" applyAlignment="1">
      <alignment horizontal="center"/>
    </xf>
    <xf numFmtId="2" fontId="4" fillId="4" borderId="21" xfId="0" applyNumberFormat="1" applyFont="1" applyFill="1" applyBorder="1"/>
    <xf numFmtId="165" fontId="4" fillId="4" borderId="13" xfId="0" applyNumberFormat="1" applyFont="1" applyFill="1" applyBorder="1" applyAlignment="1">
      <alignment horizontal="center" vertical="center"/>
    </xf>
    <xf numFmtId="0" fontId="44" fillId="0" borderId="18" xfId="0" applyFont="1" applyBorder="1"/>
    <xf numFmtId="0" fontId="44" fillId="0" borderId="0" xfId="0" applyFont="1" applyBorder="1" applyAlignment="1">
      <alignment horizontal="center" vertical="center"/>
    </xf>
    <xf numFmtId="0" fontId="3" fillId="3" borderId="0" xfId="0" applyFont="1" applyFill="1" applyBorder="1"/>
    <xf numFmtId="0" fontId="0" fillId="3" borderId="18" xfId="0" applyFill="1" applyBorder="1"/>
    <xf numFmtId="0" fontId="4" fillId="3" borderId="0" xfId="0" applyFont="1" applyFill="1" applyBorder="1"/>
    <xf numFmtId="2" fontId="3" fillId="3" borderId="0" xfId="0" applyNumberFormat="1" applyFont="1" applyFill="1" applyBorder="1"/>
    <xf numFmtId="2" fontId="3" fillId="0" borderId="0" xfId="0" applyNumberFormat="1" applyFont="1" applyBorder="1"/>
    <xf numFmtId="0" fontId="3" fillId="15" borderId="2" xfId="0" applyFont="1" applyFill="1" applyBorder="1" applyAlignment="1">
      <alignment horizontal="center"/>
    </xf>
    <xf numFmtId="165" fontId="4" fillId="3" borderId="0" xfId="0" applyNumberFormat="1" applyFont="1" applyFill="1" applyBorder="1"/>
    <xf numFmtId="0" fontId="0" fillId="3" borderId="0" xfId="0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171" fontId="50" fillId="0" borderId="0" xfId="0" applyNumberFormat="1" applyFont="1" applyBorder="1"/>
    <xf numFmtId="169" fontId="4" fillId="12" borderId="13" xfId="0" applyNumberFormat="1" applyFont="1" applyFill="1" applyBorder="1" applyAlignment="1">
      <alignment horizontal="center"/>
    </xf>
    <xf numFmtId="164" fontId="4" fillId="7" borderId="13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top"/>
    </xf>
    <xf numFmtId="167" fontId="4" fillId="12" borderId="13" xfId="0" applyNumberFormat="1" applyFont="1" applyFill="1" applyBorder="1" applyAlignment="1">
      <alignment horizontal="center" vertical="center"/>
    </xf>
    <xf numFmtId="2" fontId="3" fillId="15" borderId="2" xfId="0" applyNumberFormat="1" applyFont="1" applyFill="1" applyBorder="1" applyAlignment="1">
      <alignment horizontal="center"/>
    </xf>
    <xf numFmtId="169" fontId="4" fillId="9" borderId="0" xfId="0" applyNumberFormat="1" applyFont="1" applyFill="1" applyBorder="1" applyAlignment="1">
      <alignment horizontal="center"/>
    </xf>
    <xf numFmtId="0" fontId="53" fillId="0" borderId="1" xfId="0" applyFont="1"/>
    <xf numFmtId="0" fontId="3" fillId="0" borderId="0" xfId="0" applyFont="1" applyBorder="1" applyAlignment="1">
      <alignment horizontal="left" vertical="center"/>
    </xf>
    <xf numFmtId="171" fontId="4" fillId="13" borderId="0" xfId="0" applyNumberFormat="1" applyFont="1" applyFill="1" applyBorder="1" applyAlignment="1">
      <alignment horizontal="center"/>
    </xf>
  </cellXfs>
  <cellStyles count="353">
    <cellStyle name="Followed Hyperlink" xfId="236" builtinId="9" hidden="1"/>
    <cellStyle name="Followed Hyperlink" xfId="220" builtinId="9" hidden="1"/>
    <cellStyle name="Followed Hyperlink" xfId="204" builtinId="9" hidden="1"/>
    <cellStyle name="Followed Hyperlink" xfId="188" builtinId="9" hidden="1"/>
    <cellStyle name="Followed Hyperlink" xfId="172" builtinId="9" hidden="1"/>
    <cellStyle name="Followed Hyperlink" xfId="156" builtinId="9" hidden="1"/>
    <cellStyle name="Followed Hyperlink" xfId="140" builtinId="9" hidden="1"/>
    <cellStyle name="Followed Hyperlink" xfId="124" builtinId="9" hidden="1"/>
    <cellStyle name="Followed Hyperlink" xfId="108" builtinId="9" hidden="1"/>
    <cellStyle name="Followed Hyperlink" xfId="92" builtinId="9" hidden="1"/>
    <cellStyle name="Followed Hyperlink" xfId="76" builtinId="9" hidden="1"/>
    <cellStyle name="Followed Hyperlink" xfId="28" builtinId="9" hidden="1"/>
    <cellStyle name="Followed Hyperlink" xfId="38" builtinId="9" hidden="1"/>
    <cellStyle name="Followed Hyperlink" xfId="50" builtinId="9" hidden="1"/>
    <cellStyle name="Followed Hyperlink" xfId="60" builtinId="9" hidden="1"/>
    <cellStyle name="Followed Hyperlink" xfId="56" builtinId="9" hidden="1"/>
    <cellStyle name="Followed Hyperlink" xfId="24" builtinId="9" hidden="1"/>
    <cellStyle name="Followed Hyperlink" xfId="20" builtinId="9" hidden="1"/>
    <cellStyle name="Followed Hyperlink" xfId="10" builtinId="9" hidden="1"/>
    <cellStyle name="Followed Hyperlink" xfId="6" builtinId="9" hidden="1"/>
    <cellStyle name="Followed Hyperlink" xfId="22" builtinId="9" hidden="1"/>
    <cellStyle name="Followed Hyperlink" xfId="12" builtinId="9" hidden="1"/>
    <cellStyle name="Followed Hyperlink" xfId="48" builtinId="9" hidden="1"/>
    <cellStyle name="Followed Hyperlink" xfId="62" builtinId="9" hidden="1"/>
    <cellStyle name="Followed Hyperlink" xfId="52" builtinId="9" hidden="1"/>
    <cellStyle name="Followed Hyperlink" xfId="42" builtinId="9" hidden="1"/>
    <cellStyle name="Followed Hyperlink" xfId="30" builtinId="9" hidden="1"/>
    <cellStyle name="Followed Hyperlink" xfId="72" builtinId="9" hidden="1"/>
    <cellStyle name="Followed Hyperlink" xfId="88" builtinId="9" hidden="1"/>
    <cellStyle name="Followed Hyperlink" xfId="104" builtinId="9" hidden="1"/>
    <cellStyle name="Followed Hyperlink" xfId="120" builtinId="9" hidden="1"/>
    <cellStyle name="Followed Hyperlink" xfId="136" builtinId="9" hidden="1"/>
    <cellStyle name="Followed Hyperlink" xfId="152" builtinId="9" hidden="1"/>
    <cellStyle name="Followed Hyperlink" xfId="168" builtinId="9" hidden="1"/>
    <cellStyle name="Followed Hyperlink" xfId="184" builtinId="9" hidden="1"/>
    <cellStyle name="Followed Hyperlink" xfId="200" builtinId="9" hidden="1"/>
    <cellStyle name="Followed Hyperlink" xfId="216" builtinId="9" hidden="1"/>
    <cellStyle name="Followed Hyperlink" xfId="232" builtinId="9" hidden="1"/>
    <cellStyle name="Followed Hyperlink" xfId="248" builtinId="9" hidden="1"/>
    <cellStyle name="Followed Hyperlink" xfId="264" builtinId="9" hidden="1"/>
    <cellStyle name="Followed Hyperlink" xfId="280" builtinId="9" hidden="1"/>
    <cellStyle name="Followed Hyperlink" xfId="296" builtinId="9" hidden="1"/>
    <cellStyle name="Followed Hyperlink" xfId="312" builtinId="9" hidden="1"/>
    <cellStyle name="Followed Hyperlink" xfId="328" builtinId="9" hidden="1"/>
    <cellStyle name="Followed Hyperlink" xfId="344" builtinId="9" hidden="1"/>
    <cellStyle name="Followed Hyperlink" xfId="342" builtinId="9" hidden="1"/>
    <cellStyle name="Followed Hyperlink" xfId="326" builtinId="9" hidden="1"/>
    <cellStyle name="Followed Hyperlink" xfId="310" builtinId="9" hidden="1"/>
    <cellStyle name="Followed Hyperlink" xfId="294" builtinId="9" hidden="1"/>
    <cellStyle name="Followed Hyperlink" xfId="278" builtinId="9" hidden="1"/>
    <cellStyle name="Followed Hyperlink" xfId="262" builtinId="9" hidden="1"/>
    <cellStyle name="Followed Hyperlink" xfId="246" builtinId="9" hidden="1"/>
    <cellStyle name="Followed Hyperlink" xfId="230" builtinId="9" hidden="1"/>
    <cellStyle name="Followed Hyperlink" xfId="214" builtinId="9" hidden="1"/>
    <cellStyle name="Followed Hyperlink" xfId="198" builtinId="9" hidden="1"/>
    <cellStyle name="Followed Hyperlink" xfId="118" builtinId="9" hidden="1"/>
    <cellStyle name="Followed Hyperlink" xfId="130" builtinId="9" hidden="1"/>
    <cellStyle name="Followed Hyperlink" xfId="138" builtinId="9" hidden="1"/>
    <cellStyle name="Followed Hyperlink" xfId="150" builtinId="9" hidden="1"/>
    <cellStyle name="Followed Hyperlink" xfId="162" builtinId="9" hidden="1"/>
    <cellStyle name="Followed Hyperlink" xfId="170" builtinId="9" hidden="1"/>
    <cellStyle name="Followed Hyperlink" xfId="182" builtinId="9" hidden="1"/>
    <cellStyle name="Followed Hyperlink" xfId="194" builtinId="9" hidden="1"/>
    <cellStyle name="Followed Hyperlink" xfId="174" builtinId="9" hidden="1"/>
    <cellStyle name="Followed Hyperlink" xfId="142" builtinId="9" hidden="1"/>
    <cellStyle name="Followed Hyperlink" xfId="110" builtinId="9" hidden="1"/>
    <cellStyle name="Followed Hyperlink" xfId="90" builtinId="9" hidden="1"/>
    <cellStyle name="Followed Hyperlink" xfId="102" builtinId="9" hidden="1"/>
    <cellStyle name="Followed Hyperlink" xfId="94" builtinId="9" hidden="1"/>
    <cellStyle name="Followed Hyperlink" xfId="82" builtinId="9" hidden="1"/>
    <cellStyle name="Followed Hyperlink" xfId="70" builtinId="9" hidden="1"/>
    <cellStyle name="Followed Hyperlink" xfId="74" builtinId="9" hidden="1"/>
    <cellStyle name="Followed Hyperlink" xfId="78" builtinId="9" hidden="1"/>
    <cellStyle name="Followed Hyperlink" xfId="106" builtinId="9" hidden="1"/>
    <cellStyle name="Followed Hyperlink" xfId="98" builtinId="9" hidden="1"/>
    <cellStyle name="Followed Hyperlink" xfId="86" builtinId="9" hidden="1"/>
    <cellStyle name="Followed Hyperlink" xfId="126" builtinId="9" hidden="1"/>
    <cellStyle name="Followed Hyperlink" xfId="158" builtinId="9" hidden="1"/>
    <cellStyle name="Followed Hyperlink" xfId="190" builtinId="9" hidden="1"/>
    <cellStyle name="Followed Hyperlink" xfId="186" builtinId="9" hidden="1"/>
    <cellStyle name="Followed Hyperlink" xfId="178" builtinId="9" hidden="1"/>
    <cellStyle name="Followed Hyperlink" xfId="166" builtinId="9" hidden="1"/>
    <cellStyle name="Followed Hyperlink" xfId="154" builtinId="9" hidden="1"/>
    <cellStyle name="Followed Hyperlink" xfId="146" builtinId="9" hidden="1"/>
    <cellStyle name="Followed Hyperlink" xfId="134" builtinId="9" hidden="1"/>
    <cellStyle name="Followed Hyperlink" xfId="122" builtinId="9" hidden="1"/>
    <cellStyle name="Followed Hyperlink" xfId="114" builtinId="9" hidden="1"/>
    <cellStyle name="Followed Hyperlink" xfId="206" builtinId="9" hidden="1"/>
    <cellStyle name="Followed Hyperlink" xfId="222" builtinId="9" hidden="1"/>
    <cellStyle name="Followed Hyperlink" xfId="238" builtinId="9" hidden="1"/>
    <cellStyle name="Followed Hyperlink" xfId="254" builtinId="9" hidden="1"/>
    <cellStyle name="Followed Hyperlink" xfId="270" builtinId="9" hidden="1"/>
    <cellStyle name="Followed Hyperlink" xfId="286" builtinId="9" hidden="1"/>
    <cellStyle name="Followed Hyperlink" xfId="302" builtinId="9" hidden="1"/>
    <cellStyle name="Followed Hyperlink" xfId="318" builtinId="9" hidden="1"/>
    <cellStyle name="Followed Hyperlink" xfId="334" builtinId="9" hidden="1"/>
    <cellStyle name="Followed Hyperlink" xfId="350" builtinId="9" hidden="1"/>
    <cellStyle name="Followed Hyperlink" xfId="336" builtinId="9" hidden="1"/>
    <cellStyle name="Followed Hyperlink" xfId="320" builtinId="9" hidden="1"/>
    <cellStyle name="Followed Hyperlink" xfId="304" builtinId="9" hidden="1"/>
    <cellStyle name="Followed Hyperlink" xfId="288" builtinId="9" hidden="1"/>
    <cellStyle name="Followed Hyperlink" xfId="272" builtinId="9" hidden="1"/>
    <cellStyle name="Followed Hyperlink" xfId="256" builtinId="9" hidden="1"/>
    <cellStyle name="Followed Hyperlink" xfId="240" builtinId="9" hidden="1"/>
    <cellStyle name="Followed Hyperlink" xfId="224" builtinId="9" hidden="1"/>
    <cellStyle name="Followed Hyperlink" xfId="208" builtinId="9" hidden="1"/>
    <cellStyle name="Followed Hyperlink" xfId="192" builtinId="9" hidden="1"/>
    <cellStyle name="Followed Hyperlink" xfId="176" builtinId="9" hidden="1"/>
    <cellStyle name="Followed Hyperlink" xfId="160" builtinId="9" hidden="1"/>
    <cellStyle name="Followed Hyperlink" xfId="144" builtinId="9" hidden="1"/>
    <cellStyle name="Followed Hyperlink" xfId="128" builtinId="9" hidden="1"/>
    <cellStyle name="Followed Hyperlink" xfId="112" builtinId="9" hidden="1"/>
    <cellStyle name="Followed Hyperlink" xfId="96" builtinId="9" hidden="1"/>
    <cellStyle name="Followed Hyperlink" xfId="80" builtinId="9" hidden="1"/>
    <cellStyle name="Followed Hyperlink" xfId="26" builtinId="9" hidden="1"/>
    <cellStyle name="Followed Hyperlink" xfId="36" builtinId="9" hidden="1"/>
    <cellStyle name="Followed Hyperlink" xfId="46" builtinId="9" hidden="1"/>
    <cellStyle name="Followed Hyperlink" xfId="58" builtinId="9" hidden="1"/>
    <cellStyle name="Followed Hyperlink" xfId="64" builtinId="9" hidden="1"/>
    <cellStyle name="Followed Hyperlink" xfId="32" builtinId="9" hidden="1"/>
    <cellStyle name="Followed Hyperlink" xfId="18" builtinId="9" hidden="1"/>
    <cellStyle name="Followed Hyperlink" xfId="8" builtinId="9" hidden="1"/>
    <cellStyle name="Followed Hyperlink" xfId="4" builtinId="9" hidden="1"/>
    <cellStyle name="Followed Hyperlink" xfId="16" builtinId="9" hidden="1"/>
    <cellStyle name="Followed Hyperlink" xfId="14" builtinId="9" hidden="1"/>
    <cellStyle name="Followed Hyperlink" xfId="40" builtinId="9" hidden="1"/>
    <cellStyle name="Followed Hyperlink" xfId="66" builtinId="9" hidden="1"/>
    <cellStyle name="Followed Hyperlink" xfId="54" builtinId="9" hidden="1"/>
    <cellStyle name="Followed Hyperlink" xfId="44" builtinId="9" hidden="1"/>
    <cellStyle name="Followed Hyperlink" xfId="34" builtinId="9" hidden="1"/>
    <cellStyle name="Followed Hyperlink" xfId="68" builtinId="9" hidden="1"/>
    <cellStyle name="Followed Hyperlink" xfId="84" builtinId="9" hidden="1"/>
    <cellStyle name="Followed Hyperlink" xfId="100" builtinId="9" hidden="1"/>
    <cellStyle name="Followed Hyperlink" xfId="116" builtinId="9" hidden="1"/>
    <cellStyle name="Followed Hyperlink" xfId="132" builtinId="9" hidden="1"/>
    <cellStyle name="Followed Hyperlink" xfId="148" builtinId="9" hidden="1"/>
    <cellStyle name="Followed Hyperlink" xfId="164" builtinId="9" hidden="1"/>
    <cellStyle name="Followed Hyperlink" xfId="180" builtinId="9" hidden="1"/>
    <cellStyle name="Followed Hyperlink" xfId="196" builtinId="9" hidden="1"/>
    <cellStyle name="Followed Hyperlink" xfId="212" builtinId="9" hidden="1"/>
    <cellStyle name="Followed Hyperlink" xfId="228" builtinId="9" hidden="1"/>
    <cellStyle name="Followed Hyperlink" xfId="244" builtinId="9" hidden="1"/>
    <cellStyle name="Followed Hyperlink" xfId="290" builtinId="9" hidden="1"/>
    <cellStyle name="Followed Hyperlink" xfId="298" builtinId="9" hidden="1"/>
    <cellStyle name="Followed Hyperlink" xfId="306" builtinId="9" hidden="1"/>
    <cellStyle name="Followed Hyperlink" xfId="322" builtinId="9" hidden="1"/>
    <cellStyle name="Followed Hyperlink" xfId="330" builtinId="9" hidden="1"/>
    <cellStyle name="Followed Hyperlink" xfId="338" builtinId="9" hidden="1"/>
    <cellStyle name="Followed Hyperlink" xfId="348" builtinId="9" hidden="1"/>
    <cellStyle name="Followed Hyperlink" xfId="340" builtinId="9" hidden="1"/>
    <cellStyle name="Followed Hyperlink" xfId="332" builtinId="9" hidden="1"/>
    <cellStyle name="Followed Hyperlink" xfId="316" builtinId="9" hidden="1"/>
    <cellStyle name="Followed Hyperlink" xfId="308" builtinId="9" hidden="1"/>
    <cellStyle name="Followed Hyperlink" xfId="300" builtinId="9" hidden="1"/>
    <cellStyle name="Followed Hyperlink" xfId="284" builtinId="9" hidden="1"/>
    <cellStyle name="Followed Hyperlink" xfId="276" builtinId="9" hidden="1"/>
    <cellStyle name="Followed Hyperlink" xfId="268" builtinId="9" hidden="1"/>
    <cellStyle name="Followed Hyperlink" xfId="252" builtinId="9" hidden="1"/>
    <cellStyle name="Followed Hyperlink" xfId="260" builtinId="9" hidden="1"/>
    <cellStyle name="Followed Hyperlink" xfId="292" builtinId="9" hidden="1"/>
    <cellStyle name="Followed Hyperlink" xfId="324" builtinId="9" hidden="1"/>
    <cellStyle name="Followed Hyperlink" xfId="346" builtinId="9" hidden="1"/>
    <cellStyle name="Followed Hyperlink" xfId="314" builtinId="9" hidden="1"/>
    <cellStyle name="Followed Hyperlink" xfId="282" builtinId="9" hidden="1"/>
    <cellStyle name="Followed Hyperlink" xfId="234" builtinId="9" hidden="1"/>
    <cellStyle name="Followed Hyperlink" xfId="242" builtinId="9" hidden="1"/>
    <cellStyle name="Followed Hyperlink" xfId="258" builtinId="9" hidden="1"/>
    <cellStyle name="Followed Hyperlink" xfId="266" builtinId="9" hidden="1"/>
    <cellStyle name="Followed Hyperlink" xfId="274" builtinId="9" hidden="1"/>
    <cellStyle name="Followed Hyperlink" xfId="250" builtinId="9" hidden="1"/>
    <cellStyle name="Followed Hyperlink" xfId="218" builtinId="9" hidden="1"/>
    <cellStyle name="Followed Hyperlink" xfId="226" builtinId="9" hidden="1"/>
    <cellStyle name="Followed Hyperlink" xfId="210" builtinId="9" hidden="1"/>
    <cellStyle name="Followed Hyperlink" xfId="202" builtinId="9" hidden="1"/>
    <cellStyle name="Hyperlink" xfId="27" builtinId="8" hidden="1"/>
    <cellStyle name="Hyperlink" xfId="23" builtinId="8" hidden="1"/>
    <cellStyle name="Hyperlink" xfId="9" builtinId="8" hidden="1"/>
    <cellStyle name="Hyperlink" xfId="5" builtinId="8" hidden="1"/>
    <cellStyle name="Hyperlink" xfId="7" builtinId="8" hidden="1"/>
    <cellStyle name="Hyperlink" xfId="3" builtinId="8" hidden="1"/>
    <cellStyle name="Hyperlink" xfId="29" builtinId="8" hidden="1"/>
    <cellStyle name="Hyperlink" xfId="19" builtinId="8" hidden="1"/>
    <cellStyle name="Hyperlink" xfId="61" builtinId="8" hidden="1"/>
    <cellStyle name="Hyperlink" xfId="43" builtinId="8" hidden="1"/>
    <cellStyle name="Hyperlink" xfId="35" builtinId="8" hidden="1"/>
    <cellStyle name="Hyperlink" xfId="87" builtinId="8" hidden="1"/>
    <cellStyle name="Hyperlink" xfId="131" builtinId="8" hidden="1"/>
    <cellStyle name="Hyperlink" xfId="123" builtinId="8" hidden="1"/>
    <cellStyle name="Hyperlink" xfId="113" builtinId="8" hidden="1"/>
    <cellStyle name="Hyperlink" xfId="95" builtinId="8" hidden="1"/>
    <cellStyle name="Hyperlink" xfId="85" builtinId="8" hidden="1"/>
    <cellStyle name="Hyperlink" xfId="77" builtinId="8" hidden="1"/>
    <cellStyle name="Hyperlink" xfId="151" builtinId="8" hidden="1"/>
    <cellStyle name="Hyperlink" xfId="183" builtinId="8" hidden="1"/>
    <cellStyle name="Hyperlink" xfId="215" builtinId="8" hidden="1"/>
    <cellStyle name="Hyperlink" xfId="279" builtinId="8" hidden="1"/>
    <cellStyle name="Hyperlink" xfId="311" builtinId="8" hidden="1"/>
    <cellStyle name="Hyperlink" xfId="343" builtinId="8" hidden="1"/>
    <cellStyle name="Hyperlink" xfId="331" builtinId="8" hidden="1"/>
    <cellStyle name="Hyperlink" xfId="225" builtinId="8" hidden="1"/>
    <cellStyle name="Hyperlink" xfId="227" builtinId="8" hidden="1"/>
    <cellStyle name="Hyperlink" xfId="233" builtinId="8" hidden="1"/>
    <cellStyle name="Hyperlink" xfId="237" builtinId="8" hidden="1"/>
    <cellStyle name="Hyperlink" xfId="241" builtinId="8" hidden="1"/>
    <cellStyle name="Hyperlink" xfId="245" builtinId="8" hidden="1"/>
    <cellStyle name="Hyperlink" xfId="249" builtinId="8" hidden="1"/>
    <cellStyle name="Hyperlink" xfId="251" builtinId="8" hidden="1"/>
    <cellStyle name="Hyperlink" xfId="259" builtinId="8" hidden="1"/>
    <cellStyle name="Hyperlink" xfId="261" builtinId="8" hidden="1"/>
    <cellStyle name="Hyperlink" xfId="265" builtinId="8" hidden="1"/>
    <cellStyle name="Hyperlink" xfId="269" builtinId="8" hidden="1"/>
    <cellStyle name="Hyperlink" xfId="273" builtinId="8" hidden="1"/>
    <cellStyle name="Hyperlink" xfId="275" builtinId="8" hidden="1"/>
    <cellStyle name="Hyperlink" xfId="283" builtinId="8" hidden="1"/>
    <cellStyle name="Hyperlink" xfId="285" builtinId="8" hidden="1"/>
    <cellStyle name="Hyperlink" xfId="289" builtinId="8" hidden="1"/>
    <cellStyle name="Hyperlink" xfId="293" builtinId="8" hidden="1"/>
    <cellStyle name="Hyperlink" xfId="297" builtinId="8" hidden="1"/>
    <cellStyle name="Hyperlink" xfId="301" builtinId="8" hidden="1"/>
    <cellStyle name="Hyperlink" xfId="307" builtinId="8" hidden="1"/>
    <cellStyle name="Hyperlink" xfId="309" builtinId="8" hidden="1"/>
    <cellStyle name="Hyperlink" xfId="313" builtinId="8" hidden="1"/>
    <cellStyle name="Hyperlink" xfId="317" builtinId="8" hidden="1"/>
    <cellStyle name="Hyperlink" xfId="323" builtinId="8" hidden="1"/>
    <cellStyle name="Hyperlink" xfId="325" builtinId="8" hidden="1"/>
    <cellStyle name="Hyperlink" xfId="321" builtinId="8" hidden="1"/>
    <cellStyle name="Hyperlink" xfId="299" builtinId="8" hidden="1"/>
    <cellStyle name="Hyperlink" xfId="277" builtinId="8" hidden="1"/>
    <cellStyle name="Hyperlink" xfId="235" builtinId="8" hidden="1"/>
    <cellStyle name="Hyperlink" xfId="181" builtinId="8" hidden="1"/>
    <cellStyle name="Hyperlink" xfId="185" builtinId="8" hidden="1"/>
    <cellStyle name="Hyperlink" xfId="189" builtinId="8" hidden="1"/>
    <cellStyle name="Hyperlink" xfId="193" builtinId="8" hidden="1"/>
    <cellStyle name="Hyperlink" xfId="195" builtinId="8" hidden="1"/>
    <cellStyle name="Hyperlink" xfId="201" builtinId="8" hidden="1"/>
    <cellStyle name="Hyperlink" xfId="203" builtinId="8" hidden="1"/>
    <cellStyle name="Hyperlink" xfId="205" builtinId="8" hidden="1"/>
    <cellStyle name="Hyperlink" xfId="211" builtinId="8" hidden="1"/>
    <cellStyle name="Hyperlink" xfId="217" builtinId="8" hidden="1"/>
    <cellStyle name="Hyperlink" xfId="219" builtinId="8" hidden="1"/>
    <cellStyle name="Hyperlink" xfId="213" builtinId="8" hidden="1"/>
    <cellStyle name="Hyperlink" xfId="161" builtinId="8" hidden="1"/>
    <cellStyle name="Hyperlink" xfId="163" builtinId="8" hidden="1"/>
    <cellStyle name="Hyperlink" xfId="169" builtinId="8" hidden="1"/>
    <cellStyle name="Hyperlink" xfId="173" builtinId="8" hidden="1"/>
    <cellStyle name="Hyperlink" xfId="177" builtinId="8" hidden="1"/>
    <cellStyle name="Hyperlink" xfId="171" builtinId="8" hidden="1"/>
    <cellStyle name="Hyperlink" xfId="153" builtinId="8" hidden="1"/>
    <cellStyle name="Hyperlink" xfId="155" builtinId="8" hidden="1"/>
    <cellStyle name="Hyperlink" xfId="147" builtinId="8" hidden="1"/>
    <cellStyle name="Hyperlink" xfId="149" builtinId="8" hidden="1"/>
    <cellStyle name="Hyperlink" xfId="145" builtinId="8" hidden="1"/>
    <cellStyle name="Hyperlink" xfId="157" builtinId="8" hidden="1"/>
    <cellStyle name="Hyperlink" xfId="179" builtinId="8" hidden="1"/>
    <cellStyle name="Hyperlink" xfId="165" builtinId="8" hidden="1"/>
    <cellStyle name="Hyperlink" xfId="221" builtinId="8" hidden="1"/>
    <cellStyle name="Hyperlink" xfId="209" builtinId="8" hidden="1"/>
    <cellStyle name="Hyperlink" xfId="197" builtinId="8" hidden="1"/>
    <cellStyle name="Hyperlink" xfId="187" builtinId="8" hidden="1"/>
    <cellStyle name="Hyperlink" xfId="257" builtinId="8" hidden="1"/>
    <cellStyle name="Hyperlink" xfId="329" builtinId="8" hidden="1"/>
    <cellStyle name="Hyperlink" xfId="315" builtinId="8" hidden="1"/>
    <cellStyle name="Hyperlink" xfId="305" builtinId="8" hidden="1"/>
    <cellStyle name="Hyperlink" xfId="291" builtinId="8" hidden="1"/>
    <cellStyle name="Hyperlink" xfId="281" builtinId="8" hidden="1"/>
    <cellStyle name="Hyperlink" xfId="267" builtinId="8" hidden="1"/>
    <cellStyle name="Hyperlink" xfId="253" builtinId="8" hidden="1"/>
    <cellStyle name="Hyperlink" xfId="243" builtinId="8" hidden="1"/>
    <cellStyle name="Hyperlink" xfId="229" builtinId="8" hidden="1"/>
    <cellStyle name="Hyperlink" xfId="341" builtinId="8" hidden="1"/>
    <cellStyle name="Hyperlink" xfId="247" builtinId="8" hidden="1"/>
    <cellStyle name="Hyperlink" xfId="67" builtinId="8" hidden="1"/>
    <cellStyle name="Hyperlink" xfId="105" builtinId="8" hidden="1"/>
    <cellStyle name="Hyperlink" xfId="141" builtinId="8" hidden="1"/>
    <cellStyle name="Hyperlink" xfId="51" builtinId="8" hidden="1"/>
    <cellStyle name="Hyperlink" xfId="13" builtinId="8" hidden="1"/>
    <cellStyle name="Hyperlink" xfId="11" builtinId="8" hidden="1"/>
    <cellStyle name="Hyperlink" xfId="25" builtinId="8" hidden="1"/>
    <cellStyle name="Hyperlink" xfId="79" builtinId="8" hidden="1"/>
    <cellStyle name="Hyperlink" xfId="81" builtinId="8" hidden="1"/>
    <cellStyle name="Hyperlink" xfId="83" builtinId="8" hidden="1"/>
    <cellStyle name="Hyperlink" xfId="89" builtinId="8" hidden="1"/>
    <cellStyle name="Hyperlink" xfId="93" builtinId="8" hidden="1"/>
    <cellStyle name="Hyperlink" xfId="97" builtinId="8" hidden="1"/>
    <cellStyle name="Hyperlink" xfId="99" builtinId="8" hidden="1"/>
    <cellStyle name="Hyperlink" xfId="101" builtinId="8" hidden="1"/>
    <cellStyle name="Hyperlink" xfId="107" builtinId="8" hidden="1"/>
    <cellStyle name="Hyperlink" xfId="109" builtinId="8" hidden="1"/>
    <cellStyle name="Hyperlink" xfId="111" builtinId="8" hidden="1"/>
    <cellStyle name="Hyperlink" xfId="117" builtinId="8" hidden="1"/>
    <cellStyle name="Hyperlink" xfId="121" builtinId="8" hidden="1"/>
    <cellStyle name="Hyperlink" xfId="125" builtinId="8" hidden="1"/>
    <cellStyle name="Hyperlink" xfId="127" builtinId="8" hidden="1"/>
    <cellStyle name="Hyperlink" xfId="129" builtinId="8" hidden="1"/>
    <cellStyle name="Hyperlink" xfId="133" builtinId="8" hidden="1"/>
    <cellStyle name="Hyperlink" xfId="137" builtinId="8" hidden="1"/>
    <cellStyle name="Hyperlink" xfId="135" builtinId="8" hidden="1"/>
    <cellStyle name="Hyperlink" xfId="119" builtinId="8" hidden="1"/>
    <cellStyle name="Hyperlink" xfId="103" builtinId="8" hidden="1"/>
    <cellStyle name="Hyperlink" xfId="71" builtinId="8" hidden="1"/>
    <cellStyle name="Hyperlink" xfId="31" builtinId="8" hidden="1"/>
    <cellStyle name="Hyperlink" xfId="33" builtinId="8" hidden="1"/>
    <cellStyle name="Hyperlink" xfId="37" builtinId="8" hidden="1"/>
    <cellStyle name="Hyperlink" xfId="41" builtinId="8" hidden="1"/>
    <cellStyle name="Hyperlink" xfId="45" builtinId="8" hidden="1"/>
    <cellStyle name="Hyperlink" xfId="47" builtinId="8" hidden="1"/>
    <cellStyle name="Hyperlink" xfId="49" builtinId="8" hidden="1"/>
    <cellStyle name="Hyperlink" xfId="53" builtinId="8" hidden="1"/>
    <cellStyle name="Hyperlink" xfId="57" builtinId="8" hidden="1"/>
    <cellStyle name="Hyperlink" xfId="59" builtinId="8" hidden="1"/>
    <cellStyle name="Hyperlink" xfId="15" builtinId="8" hidden="1"/>
    <cellStyle name="Hyperlink" xfId="17" builtinId="8" hidden="1"/>
    <cellStyle name="Hyperlink" xfId="21" builtinId="8" hidden="1"/>
    <cellStyle name="Hyperlink" xfId="55" builtinId="8" hidden="1"/>
    <cellStyle name="Hyperlink" xfId="39" builtinId="8" hidden="1"/>
    <cellStyle name="Hyperlink" xfId="139" builtinId="8" hidden="1"/>
    <cellStyle name="Hyperlink" xfId="115" builtinId="8" hidden="1"/>
    <cellStyle name="Hyperlink" xfId="91" builtinId="8" hidden="1"/>
    <cellStyle name="Hyperlink" xfId="255" builtinId="8" hidden="1"/>
    <cellStyle name="Hyperlink" xfId="239" builtinId="8" hidden="1"/>
    <cellStyle name="Hyperlink" xfId="231" builtinId="8" hidden="1"/>
    <cellStyle name="Hyperlink" xfId="223" builtinId="8" hidden="1"/>
    <cellStyle name="Hyperlink" xfId="207" builtinId="8" hidden="1"/>
    <cellStyle name="Hyperlink" xfId="199" builtinId="8" hidden="1"/>
    <cellStyle name="Hyperlink" xfId="191" builtinId="8" hidden="1"/>
    <cellStyle name="Hyperlink" xfId="175" builtinId="8" hidden="1"/>
    <cellStyle name="Hyperlink" xfId="167" builtinId="8" hidden="1"/>
    <cellStyle name="Hyperlink" xfId="159" builtinId="8" hidden="1"/>
    <cellStyle name="Hyperlink" xfId="143" builtinId="8" hidden="1"/>
    <cellStyle name="Hyperlink" xfId="63" builtinId="8" hidden="1"/>
    <cellStyle name="Hyperlink" xfId="69" builtinId="8" hidden="1"/>
    <cellStyle name="Hyperlink" xfId="73" builtinId="8" hidden="1"/>
    <cellStyle name="Hyperlink" xfId="75" builtinId="8" hidden="1"/>
    <cellStyle name="Hyperlink" xfId="65" builtinId="8" hidden="1"/>
    <cellStyle name="Hyperlink" xfId="335" builtinId="8" hidden="1"/>
    <cellStyle name="Hyperlink" xfId="327" builtinId="8" hidden="1"/>
    <cellStyle name="Hyperlink" xfId="319" builtinId="8" hidden="1"/>
    <cellStyle name="Hyperlink" xfId="303" builtinId="8" hidden="1"/>
    <cellStyle name="Hyperlink" xfId="287" builtinId="8" hidden="1"/>
    <cellStyle name="Hyperlink" xfId="271" builtinId="8" hidden="1"/>
    <cellStyle name="Hyperlink" xfId="263" builtinId="8" hidden="1"/>
    <cellStyle name="Hyperlink" xfId="295" builtinId="8" hidden="1"/>
    <cellStyle name="Hyperlink" xfId="345" builtinId="8" hidden="1"/>
    <cellStyle name="Hyperlink" xfId="347" builtinId="8" hidden="1"/>
    <cellStyle name="Hyperlink" xfId="349" builtinId="8" hidden="1"/>
    <cellStyle name="Hyperlink" xfId="337" builtinId="8" hidden="1"/>
    <cellStyle name="Hyperlink" xfId="339" builtinId="8" hidden="1"/>
    <cellStyle name="Hyperlink" xfId="333" builtinId="8" hidden="1"/>
    <cellStyle name="Migliaia [0]_ATTIVST" xfId="1" xr:uid="{00000000-0005-0000-0000-00005C010000}"/>
    <cellStyle name="Normal" xfId="0" builtinId="0"/>
    <cellStyle name="Normal 2" xfId="352" xr:uid="{AE10972C-91B6-054A-B0BE-9CF5FCA82EB3}"/>
    <cellStyle name="Normal 3 2" xfId="351" xr:uid="{768598F9-401A-814E-99BA-4CBDB90F7F2F}"/>
    <cellStyle name="Normale_ANT02POR" xfId="2" xr:uid="{00000000-0005-0000-0000-00005E010000}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  <color rgb="FFF8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Masses!$F$8:$F$68</c:f>
                <c:numCache>
                  <c:formatCode>General</c:formatCode>
                  <c:ptCount val="61"/>
                  <c:pt idx="0">
                    <c:v>4.8459592111397597E-3</c:v>
                  </c:pt>
                  <c:pt idx="2">
                    <c:v>4.3206190488780626E-3</c:v>
                  </c:pt>
                  <c:pt idx="4">
                    <c:v>4.6343252507580644E-3</c:v>
                  </c:pt>
                  <c:pt idx="6">
                    <c:v>4.6709014365225168E-3</c:v>
                  </c:pt>
                  <c:pt idx="8">
                    <c:v>4.63959658514291E-3</c:v>
                  </c:pt>
                  <c:pt idx="10">
                    <c:v>4.7632444767464529E-3</c:v>
                  </c:pt>
                  <c:pt idx="12">
                    <c:v>4.8555386135566304E-3</c:v>
                  </c:pt>
                  <c:pt idx="14">
                    <c:v>4.8802340691447548E-3</c:v>
                  </c:pt>
                  <c:pt idx="16">
                    <c:v>4.8909501903192307E-3</c:v>
                  </c:pt>
                  <c:pt idx="18">
                    <c:v>4.8692259510596005E-3</c:v>
                  </c:pt>
                  <c:pt idx="20">
                    <c:v>4.8821689189388401E-3</c:v>
                  </c:pt>
                  <c:pt idx="22">
                    <c:v>4.9572736488708883E-3</c:v>
                  </c:pt>
                  <c:pt idx="24">
                    <c:v>5.0148835254777129E-3</c:v>
                  </c:pt>
                  <c:pt idx="26">
                    <c:v>4.5945120136585103E-3</c:v>
                  </c:pt>
                  <c:pt idx="28">
                    <c:v>4.251428207853041E-3</c:v>
                  </c:pt>
                  <c:pt idx="30">
                    <c:v>4.7609661822266549E-3</c:v>
                  </c:pt>
                  <c:pt idx="32">
                    <c:v>5.065843245501845E-3</c:v>
                  </c:pt>
                  <c:pt idx="34">
                    <c:v>5.0736473966328365E-3</c:v>
                  </c:pt>
                  <c:pt idx="36">
                    <c:v>4.8802482930143144E-3</c:v>
                  </c:pt>
                  <c:pt idx="38">
                    <c:v>4.7748453065372815E-3</c:v>
                  </c:pt>
                  <c:pt idx="40">
                    <c:v>4.8019496094421571E-3</c:v>
                  </c:pt>
                  <c:pt idx="42">
                    <c:v>4.7271126217080699E-3</c:v>
                  </c:pt>
                  <c:pt idx="44">
                    <c:v>4.6938377880510812E-3</c:v>
                  </c:pt>
                  <c:pt idx="46">
                    <c:v>4.5546735596586662E-3</c:v>
                  </c:pt>
                  <c:pt idx="48">
                    <c:v>4.5982045881577966E-3</c:v>
                  </c:pt>
                  <c:pt idx="50">
                    <c:v>4.7241837700240184E-3</c:v>
                  </c:pt>
                  <c:pt idx="52">
                    <c:v>4.9192450314971773E-3</c:v>
                  </c:pt>
                  <c:pt idx="54">
                    <c:v>5.1966197459294167E-3</c:v>
                  </c:pt>
                  <c:pt idx="56">
                    <c:v>5.1653723259132622E-3</c:v>
                  </c:pt>
                  <c:pt idx="58">
                    <c:v>4.9813559166554328E-3</c:v>
                  </c:pt>
                  <c:pt idx="60">
                    <c:v>5.1139579708859035E-3</c:v>
                  </c:pt>
                </c:numCache>
              </c:numRef>
            </c:plus>
            <c:minus>
              <c:numRef>
                <c:f>Masses!$F$8:$F$68</c:f>
                <c:numCache>
                  <c:formatCode>General</c:formatCode>
                  <c:ptCount val="61"/>
                  <c:pt idx="0">
                    <c:v>4.8459592111397597E-3</c:v>
                  </c:pt>
                  <c:pt idx="2">
                    <c:v>4.3206190488780626E-3</c:v>
                  </c:pt>
                  <c:pt idx="4">
                    <c:v>4.6343252507580644E-3</c:v>
                  </c:pt>
                  <c:pt idx="6">
                    <c:v>4.6709014365225168E-3</c:v>
                  </c:pt>
                  <c:pt idx="8">
                    <c:v>4.63959658514291E-3</c:v>
                  </c:pt>
                  <c:pt idx="10">
                    <c:v>4.7632444767464529E-3</c:v>
                  </c:pt>
                  <c:pt idx="12">
                    <c:v>4.8555386135566304E-3</c:v>
                  </c:pt>
                  <c:pt idx="14">
                    <c:v>4.8802340691447548E-3</c:v>
                  </c:pt>
                  <c:pt idx="16">
                    <c:v>4.8909501903192307E-3</c:v>
                  </c:pt>
                  <c:pt idx="18">
                    <c:v>4.8692259510596005E-3</c:v>
                  </c:pt>
                  <c:pt idx="20">
                    <c:v>4.8821689189388401E-3</c:v>
                  </c:pt>
                  <c:pt idx="22">
                    <c:v>4.9572736488708883E-3</c:v>
                  </c:pt>
                  <c:pt idx="24">
                    <c:v>5.0148835254777129E-3</c:v>
                  </c:pt>
                  <c:pt idx="26">
                    <c:v>4.5945120136585103E-3</c:v>
                  </c:pt>
                  <c:pt idx="28">
                    <c:v>4.251428207853041E-3</c:v>
                  </c:pt>
                  <c:pt idx="30">
                    <c:v>4.7609661822266549E-3</c:v>
                  </c:pt>
                  <c:pt idx="32">
                    <c:v>5.065843245501845E-3</c:v>
                  </c:pt>
                  <c:pt idx="34">
                    <c:v>5.0736473966328365E-3</c:v>
                  </c:pt>
                  <c:pt idx="36">
                    <c:v>4.8802482930143144E-3</c:v>
                  </c:pt>
                  <c:pt idx="38">
                    <c:v>4.7748453065372815E-3</c:v>
                  </c:pt>
                  <c:pt idx="40">
                    <c:v>4.8019496094421571E-3</c:v>
                  </c:pt>
                  <c:pt idx="42">
                    <c:v>4.7271126217080699E-3</c:v>
                  </c:pt>
                  <c:pt idx="44">
                    <c:v>4.6938377880510812E-3</c:v>
                  </c:pt>
                  <c:pt idx="46">
                    <c:v>4.5546735596586662E-3</c:v>
                  </c:pt>
                  <c:pt idx="48">
                    <c:v>4.5982045881577966E-3</c:v>
                  </c:pt>
                  <c:pt idx="50">
                    <c:v>4.7241837700240184E-3</c:v>
                  </c:pt>
                  <c:pt idx="52">
                    <c:v>4.9192450314971773E-3</c:v>
                  </c:pt>
                  <c:pt idx="54">
                    <c:v>5.1966197459294167E-3</c:v>
                  </c:pt>
                  <c:pt idx="56">
                    <c:v>5.1653723259132622E-3</c:v>
                  </c:pt>
                  <c:pt idx="58">
                    <c:v>4.9813559166554328E-3</c:v>
                  </c:pt>
                  <c:pt idx="60">
                    <c:v>5.1139579708859035E-3</c:v>
                  </c:pt>
                </c:numCache>
              </c:numRef>
            </c:minus>
          </c:errBars>
          <c:xVal>
            <c:numRef>
              <c:f>Masses!$C$8:$C$130</c:f>
              <c:numCache>
                <c:formatCode>General</c:formatCode>
                <c:ptCount val="123"/>
                <c:pt idx="0">
                  <c:v>0.5</c:v>
                </c:pt>
                <c:pt idx="2">
                  <c:v>1.5</c:v>
                </c:pt>
                <c:pt idx="4">
                  <c:v>2.5</c:v>
                </c:pt>
                <c:pt idx="6">
                  <c:v>3.5</c:v>
                </c:pt>
                <c:pt idx="8">
                  <c:v>4.5</c:v>
                </c:pt>
                <c:pt idx="10">
                  <c:v>5.5</c:v>
                </c:pt>
                <c:pt idx="12">
                  <c:v>6.5</c:v>
                </c:pt>
                <c:pt idx="14">
                  <c:v>7.5</c:v>
                </c:pt>
                <c:pt idx="16">
                  <c:v>8.5</c:v>
                </c:pt>
                <c:pt idx="18">
                  <c:v>9.5</c:v>
                </c:pt>
                <c:pt idx="20">
                  <c:v>10.5</c:v>
                </c:pt>
                <c:pt idx="22">
                  <c:v>11.5</c:v>
                </c:pt>
                <c:pt idx="24">
                  <c:v>12.5</c:v>
                </c:pt>
                <c:pt idx="26">
                  <c:v>13.5</c:v>
                </c:pt>
                <c:pt idx="28">
                  <c:v>14.5</c:v>
                </c:pt>
                <c:pt idx="30">
                  <c:v>15.5</c:v>
                </c:pt>
                <c:pt idx="32">
                  <c:v>16.5</c:v>
                </c:pt>
                <c:pt idx="34">
                  <c:v>17.5</c:v>
                </c:pt>
                <c:pt idx="36">
                  <c:v>18.5</c:v>
                </c:pt>
                <c:pt idx="38">
                  <c:v>19.5</c:v>
                </c:pt>
                <c:pt idx="40">
                  <c:v>20.5</c:v>
                </c:pt>
                <c:pt idx="42">
                  <c:v>21.5</c:v>
                </c:pt>
                <c:pt idx="44">
                  <c:v>22.5</c:v>
                </c:pt>
                <c:pt idx="46">
                  <c:v>23.5</c:v>
                </c:pt>
                <c:pt idx="48">
                  <c:v>24.5</c:v>
                </c:pt>
                <c:pt idx="50">
                  <c:v>25.5</c:v>
                </c:pt>
                <c:pt idx="52">
                  <c:v>26.5</c:v>
                </c:pt>
                <c:pt idx="54">
                  <c:v>27.5</c:v>
                </c:pt>
                <c:pt idx="56">
                  <c:v>28.5</c:v>
                </c:pt>
                <c:pt idx="58">
                  <c:v>29.5</c:v>
                </c:pt>
                <c:pt idx="60">
                  <c:v>30.5</c:v>
                </c:pt>
                <c:pt idx="62">
                  <c:v>31.5</c:v>
                </c:pt>
                <c:pt idx="64">
                  <c:v>32.5</c:v>
                </c:pt>
                <c:pt idx="66">
                  <c:v>33.5</c:v>
                </c:pt>
                <c:pt idx="68">
                  <c:v>34.5</c:v>
                </c:pt>
                <c:pt idx="70">
                  <c:v>35.5</c:v>
                </c:pt>
                <c:pt idx="72">
                  <c:v>36.5</c:v>
                </c:pt>
                <c:pt idx="74">
                  <c:v>37.5</c:v>
                </c:pt>
                <c:pt idx="76">
                  <c:v>38.5</c:v>
                </c:pt>
                <c:pt idx="78">
                  <c:v>39.5</c:v>
                </c:pt>
                <c:pt idx="80">
                  <c:v>40.5</c:v>
                </c:pt>
                <c:pt idx="82">
                  <c:v>41.5</c:v>
                </c:pt>
                <c:pt idx="84">
                  <c:v>42.5</c:v>
                </c:pt>
                <c:pt idx="86">
                  <c:v>43.5</c:v>
                </c:pt>
                <c:pt idx="88">
                  <c:v>44.5</c:v>
                </c:pt>
                <c:pt idx="90">
                  <c:v>45.5</c:v>
                </c:pt>
                <c:pt idx="92">
                  <c:v>46.5</c:v>
                </c:pt>
                <c:pt idx="94">
                  <c:v>47.5</c:v>
                </c:pt>
              </c:numCache>
            </c:numRef>
          </c:xVal>
          <c:yVal>
            <c:numRef>
              <c:f>Masses!$E$8:$E$128</c:f>
              <c:numCache>
                <c:formatCode>0.000</c:formatCode>
                <c:ptCount val="121"/>
                <c:pt idx="0">
                  <c:v>0.2261039229</c:v>
                </c:pt>
                <c:pt idx="2">
                  <c:v>0.27468829319999999</c:v>
                </c:pt>
                <c:pt idx="4">
                  <c:v>0.28437783509999998</c:v>
                </c:pt>
                <c:pt idx="6">
                  <c:v>0.29235443179999998</c:v>
                </c:pt>
                <c:pt idx="8">
                  <c:v>0.29561971310000001</c:v>
                </c:pt>
                <c:pt idx="10">
                  <c:v>0.2947480327</c:v>
                </c:pt>
                <c:pt idx="12">
                  <c:v>0.28910410730000002</c:v>
                </c:pt>
                <c:pt idx="14">
                  <c:v>0.28271772579999999</c:v>
                </c:pt>
                <c:pt idx="16">
                  <c:v>0.28351579399999999</c:v>
                </c:pt>
                <c:pt idx="18">
                  <c:v>0.26401400180000001</c:v>
                </c:pt>
                <c:pt idx="20">
                  <c:v>0.26920853119999999</c:v>
                </c:pt>
                <c:pt idx="22">
                  <c:v>0.25316298570000001</c:v>
                </c:pt>
                <c:pt idx="24">
                  <c:v>0.2693093553</c:v>
                </c:pt>
                <c:pt idx="26">
                  <c:v>0.26964695129999999</c:v>
                </c:pt>
                <c:pt idx="28">
                  <c:v>0.27456195960000002</c:v>
                </c:pt>
                <c:pt idx="30">
                  <c:v>0.26741338619999999</c:v>
                </c:pt>
                <c:pt idx="32">
                  <c:v>0.27017934910000002</c:v>
                </c:pt>
                <c:pt idx="34">
                  <c:v>0.27144589120000001</c:v>
                </c:pt>
                <c:pt idx="36">
                  <c:v>0.27191991119999998</c:v>
                </c:pt>
                <c:pt idx="38">
                  <c:v>0.26795783220000002</c:v>
                </c:pt>
                <c:pt idx="40">
                  <c:v>0.32554032189999998</c:v>
                </c:pt>
                <c:pt idx="42">
                  <c:v>0.32641815239999999</c:v>
                </c:pt>
                <c:pt idx="44">
                  <c:v>0.3328866929</c:v>
                </c:pt>
                <c:pt idx="46">
                  <c:v>0.33107307899999999</c:v>
                </c:pt>
                <c:pt idx="48">
                  <c:v>0.3018454793</c:v>
                </c:pt>
                <c:pt idx="50">
                  <c:v>0.31333829670000002</c:v>
                </c:pt>
                <c:pt idx="52">
                  <c:v>0.30068124229999998</c:v>
                </c:pt>
                <c:pt idx="54">
                  <c:v>0.3117251707</c:v>
                </c:pt>
                <c:pt idx="56">
                  <c:v>0.30354376399999999</c:v>
                </c:pt>
                <c:pt idx="58" formatCode="General">
                  <c:v>0.3269324542</c:v>
                </c:pt>
                <c:pt idx="60" formatCode="General">
                  <c:v>0.33167596739999999</c:v>
                </c:pt>
                <c:pt idx="62" formatCode="General">
                  <c:v>0.30135291780000001</c:v>
                </c:pt>
                <c:pt idx="64" formatCode="General">
                  <c:v>0.30438742089999998</c:v>
                </c:pt>
                <c:pt idx="66" formatCode="General">
                  <c:v>0.29293916120000002</c:v>
                </c:pt>
                <c:pt idx="68" formatCode="General">
                  <c:v>0.30355458369999999</c:v>
                </c:pt>
                <c:pt idx="70" formatCode="General">
                  <c:v>0.29113622649999998</c:v>
                </c:pt>
                <c:pt idx="72" formatCode="General">
                  <c:v>0.28995403419999999</c:v>
                </c:pt>
                <c:pt idx="74" formatCode="General">
                  <c:v>0.26109957230000003</c:v>
                </c:pt>
                <c:pt idx="76" formatCode="General">
                  <c:v>0.27745976519999999</c:v>
                </c:pt>
                <c:pt idx="78" formatCode="General">
                  <c:v>0.28086225339999998</c:v>
                </c:pt>
                <c:pt idx="80" formatCode="General">
                  <c:v>0.2819247097</c:v>
                </c:pt>
                <c:pt idx="82" formatCode="General">
                  <c:v>0.26707689690000003</c:v>
                </c:pt>
                <c:pt idx="84" formatCode="General">
                  <c:v>0.26050196460000002</c:v>
                </c:pt>
                <c:pt idx="86" formatCode="General">
                  <c:v>0.267768271</c:v>
                </c:pt>
                <c:pt idx="88" formatCode="General">
                  <c:v>0.26439280729999998</c:v>
                </c:pt>
                <c:pt idx="90" formatCode="General">
                  <c:v>0.26582325369999998</c:v>
                </c:pt>
                <c:pt idx="92" formatCode="General">
                  <c:v>0.27428859309999998</c:v>
                </c:pt>
                <c:pt idx="94" formatCode="General">
                  <c:v>0.28199764189999998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D5-B444-AAE1-FD708333B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10868576"/>
        <c:axId val="-2008122896"/>
      </c:scatterChart>
      <c:valAx>
        <c:axId val="-2010868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</a:t>
                </a:r>
                <a:r>
                  <a:rPr lang="en-US" baseline="0"/>
                  <a:t> (cm)</a:t>
                </a:r>
                <a:endParaRPr lang="en-US"/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-2008122896"/>
        <c:crosses val="autoZero"/>
        <c:crossBetween val="midCat"/>
        <c:majorUnit val="5"/>
      </c:valAx>
      <c:valAx>
        <c:axId val="-20081228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Dry Bulk Density  (g cm-2)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-2010868576"/>
        <c:crosses val="autoZero"/>
        <c:crossBetween val="midCat"/>
      </c:valAx>
    </c:plotArea>
    <c:legend>
      <c:legendPos val="r"/>
      <c:overlay val="0"/>
    </c:legend>
    <c:plotVisOnly val="0"/>
    <c:dispBlanksAs val="span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93969174906"/>
          <c:y val="0.23034876754536099"/>
          <c:w val="0.834711585896728"/>
          <c:h val="0.75208463806889003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og"/>
            <c:dispRSqr val="1"/>
            <c:dispEq val="1"/>
            <c:trendlineLbl>
              <c:layout>
                <c:manualLayout>
                  <c:x val="-8.0720368101867182E-2"/>
                  <c:y val="0.39356973456694827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400" baseline="0"/>
                  </a:pPr>
                  <a:endParaRPr lang="en-US"/>
                </a:p>
              </c:txPr>
            </c:trendlineLbl>
          </c:trendline>
          <c:xVal>
            <c:numRef>
              <c:f>Concentrations!$G$5:$G$80</c:f>
              <c:numCache>
                <c:formatCode>General</c:formatCode>
                <c:ptCount val="76"/>
                <c:pt idx="0" formatCode="0.00">
                  <c:v>11.1909918798753</c:v>
                </c:pt>
                <c:pt idx="2" formatCode="0.00">
                  <c:v>10.401762992030701</c:v>
                </c:pt>
                <c:pt idx="4" formatCode="0.00">
                  <c:v>11.564913501666801</c:v>
                </c:pt>
                <c:pt idx="6" formatCode="0.00">
                  <c:v>10.933238423335501</c:v>
                </c:pt>
                <c:pt idx="8" formatCode="0.00">
                  <c:v>10.712544697995702</c:v>
                </c:pt>
                <c:pt idx="10" formatCode="0.00">
                  <c:v>9.8194838455469</c:v>
                </c:pt>
                <c:pt idx="12" formatCode="0.00">
                  <c:v>9.6898226495578008</c:v>
                </c:pt>
                <c:pt idx="14" formatCode="0.00">
                  <c:v>8.491332888708051</c:v>
                </c:pt>
                <c:pt idx="16" formatCode="0.00">
                  <c:v>6.1057274600716296</c:v>
                </c:pt>
                <c:pt idx="18" formatCode="0.00">
                  <c:v>6.1506814003310595</c:v>
                </c:pt>
                <c:pt idx="20" formatCode="0.00">
                  <c:v>5.75717244611051</c:v>
                </c:pt>
                <c:pt idx="22" formatCode="0.00">
                  <c:v>4.5101701967363601</c:v>
                </c:pt>
                <c:pt idx="24" formatCode="0.00">
                  <c:v>4.4630933055305002</c:v>
                </c:pt>
                <c:pt idx="26" formatCode="0.00">
                  <c:v>5.1640478794034994</c:v>
                </c:pt>
                <c:pt idx="28" formatCode="0.00">
                  <c:v>5.3868191552963403</c:v>
                </c:pt>
                <c:pt idx="30" formatCode="0.00">
                  <c:v>5.0069443405154699</c:v>
                </c:pt>
                <c:pt idx="32" formatCode="0.00">
                  <c:v>4.3019015390768596</c:v>
                </c:pt>
                <c:pt idx="34" formatCode="0.00">
                  <c:v>3.4401901750699002</c:v>
                </c:pt>
                <c:pt idx="36" formatCode="0.00">
                  <c:v>3.3137003070003495</c:v>
                </c:pt>
                <c:pt idx="38" formatCode="0.00">
                  <c:v>3.2713528780277903</c:v>
                </c:pt>
                <c:pt idx="40" formatCode="0.00">
                  <c:v>2.3689107951912298</c:v>
                </c:pt>
                <c:pt idx="42" formatCode="0.00">
                  <c:v>2.2804991303560405</c:v>
                </c:pt>
                <c:pt idx="44" formatCode="0.00">
                  <c:v>2.5109708078862303</c:v>
                </c:pt>
                <c:pt idx="46" formatCode="0.00">
                  <c:v>2.9132165613577499</c:v>
                </c:pt>
                <c:pt idx="48" formatCode="0.00">
                  <c:v>2.1807340223854501</c:v>
                </c:pt>
                <c:pt idx="50" formatCode="0.00">
                  <c:v>2.1394098575666103</c:v>
                </c:pt>
                <c:pt idx="52" formatCode="0.00">
                  <c:v>2.0690401312066005</c:v>
                </c:pt>
                <c:pt idx="54" formatCode="0.00">
                  <c:v>1.9743756070748002</c:v>
                </c:pt>
                <c:pt idx="56" formatCode="0.00">
                  <c:v>1.27023219755049</c:v>
                </c:pt>
                <c:pt idx="58" formatCode="0.0000">
                  <c:v>1.1302242956872701</c:v>
                </c:pt>
                <c:pt idx="60" formatCode="0.0000">
                  <c:v>1.0373660592892902</c:v>
                </c:pt>
                <c:pt idx="62" formatCode="0.0000">
                  <c:v>0.66064653542687002</c:v>
                </c:pt>
                <c:pt idx="64" formatCode="0.0000">
                  <c:v>0.56618139897611997</c:v>
                </c:pt>
                <c:pt idx="66" formatCode="0.0000">
                  <c:v>0.34563402973445001</c:v>
                </c:pt>
                <c:pt idx="68" formatCode="0.0000">
                  <c:v>0.25362051870453706</c:v>
                </c:pt>
                <c:pt idx="70" formatCode="0.0000">
                  <c:v>-8.7851788957079568E-3</c:v>
                </c:pt>
                <c:pt idx="72" formatCode="0.0000">
                  <c:v>-0.11140834046658699</c:v>
                </c:pt>
                <c:pt idx="74" formatCode="0.0000">
                  <c:v>-0.21804210157975895</c:v>
                </c:pt>
              </c:numCache>
            </c:numRef>
          </c:xVal>
          <c:yVal>
            <c:numRef>
              <c:f>Concentrations!$N$5:$N$80</c:f>
              <c:numCache>
                <c:formatCode>0.00</c:formatCode>
                <c:ptCount val="76"/>
                <c:pt idx="0">
                  <c:v>0.11305196145</c:v>
                </c:pt>
                <c:pt idx="2">
                  <c:v>0.36344806950000003</c:v>
                </c:pt>
                <c:pt idx="4">
                  <c:v>0.64298113364999998</c:v>
                </c:pt>
                <c:pt idx="6">
                  <c:v>0.93134726709999993</c:v>
                </c:pt>
                <c:pt idx="8">
                  <c:v>1.2253343395499998</c:v>
                </c:pt>
                <c:pt idx="10">
                  <c:v>1.5205182124499999</c:v>
                </c:pt>
                <c:pt idx="12">
                  <c:v>1.81244428245</c:v>
                </c:pt>
                <c:pt idx="14">
                  <c:v>2.0983551990000002</c:v>
                </c:pt>
                <c:pt idx="16">
                  <c:v>2.3814719588999997</c:v>
                </c:pt>
                <c:pt idx="18">
                  <c:v>2.6552368568000002</c:v>
                </c:pt>
                <c:pt idx="20">
                  <c:v>2.9218481233000002</c:v>
                </c:pt>
                <c:pt idx="22">
                  <c:v>3.1830338817500001</c:v>
                </c:pt>
                <c:pt idx="24">
                  <c:v>3.4442700522499998</c:v>
                </c:pt>
                <c:pt idx="26">
                  <c:v>3.71374820555</c:v>
                </c:pt>
                <c:pt idx="28">
                  <c:v>3.985852661</c:v>
                </c:pt>
                <c:pt idx="30">
                  <c:v>4.2568403338999996</c:v>
                </c:pt>
                <c:pt idx="32">
                  <c:v>4.5256367015500008</c:v>
                </c:pt>
                <c:pt idx="34">
                  <c:v>4.7964493217000008</c:v>
                </c:pt>
                <c:pt idx="36">
                  <c:v>5.068132222900001</c:v>
                </c:pt>
                <c:pt idx="38">
                  <c:v>5.3380710946000001</c:v>
                </c:pt>
                <c:pt idx="40">
                  <c:v>5.6348201716500004</c:v>
                </c:pt>
                <c:pt idx="42">
                  <c:v>5.9607994087999998</c:v>
                </c:pt>
                <c:pt idx="44">
                  <c:v>6.2904518314499995</c:v>
                </c:pt>
                <c:pt idx="46">
                  <c:v>6.6224317173999996</c:v>
                </c:pt>
                <c:pt idx="48">
                  <c:v>6.9388909965500005</c:v>
                </c:pt>
                <c:pt idx="50">
                  <c:v>7.2464828845499998</c:v>
                </c:pt>
                <c:pt idx="52">
                  <c:v>7.5534926540499994</c:v>
                </c:pt>
                <c:pt idx="54">
                  <c:v>7.8596958605499996</c:v>
                </c:pt>
                <c:pt idx="56">
                  <c:v>8.1673303279000002</c:v>
                </c:pt>
                <c:pt idx="58">
                  <c:v>8.4825684370000012</c:v>
                </c:pt>
                <c:pt idx="60">
                  <c:v>8.8118726478000013</c:v>
                </c:pt>
                <c:pt idx="62">
                  <c:v>9.1283870904000004</c:v>
                </c:pt>
                <c:pt idx="64">
                  <c:v>9.4312572597499997</c:v>
                </c:pt>
                <c:pt idx="66">
                  <c:v>9.7299205507999993</c:v>
                </c:pt>
                <c:pt idx="68">
                  <c:v>10.02816742325</c:v>
                </c:pt>
                <c:pt idx="70">
                  <c:v>10.32551282835</c:v>
                </c:pt>
                <c:pt idx="72">
                  <c:v>10.616057958700001</c:v>
                </c:pt>
                <c:pt idx="74">
                  <c:v>10.891584761950002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44-5247-9F85-D62865239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1398560"/>
        <c:axId val="-2008925312"/>
      </c:scatterChart>
      <c:valAx>
        <c:axId val="-2041398560"/>
        <c:scaling>
          <c:orientation val="minMax"/>
          <c:max val="16"/>
          <c:min val="0"/>
        </c:scaling>
        <c:delete val="0"/>
        <c:axPos val="t"/>
        <c:title>
          <c:tx>
            <c:rich>
              <a:bodyPr rot="-5400000" vert="horz"/>
              <a:lstStyle/>
              <a:p>
                <a:pPr algn="ctr"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mi (g cm</a:t>
                </a:r>
                <a:r>
                  <a:rPr lang="en-US" sz="1000" b="0" i="0" u="none" strike="noStrike" baseline="3000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rPr>
                  <a:t>-2</a:t>
                </a:r>
                <a:r>
                  <a:rPr lang="en-US"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) </a:t>
                </a:r>
              </a:p>
            </c:rich>
          </c:tx>
          <c:layout>
            <c:manualLayout>
              <c:xMode val="edge"/>
              <c:yMode val="edge"/>
              <c:x val="1.23971345687052E-2"/>
              <c:y val="0.453306872063334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008925312"/>
        <c:crosses val="autoZero"/>
        <c:crossBetween val="midCat"/>
        <c:majorUnit val="1"/>
      </c:valAx>
      <c:valAx>
        <c:axId val="-2008925312"/>
        <c:scaling>
          <c:orientation val="maxMin"/>
          <c:max val="15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041398560"/>
        <c:crosses val="autoZero"/>
        <c:crossBetween val="midCat"/>
        <c:majorUnit val="5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5" r="0.75" t="0.75" header="0.5" footer="0.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24534517077999"/>
          <c:y val="0.232601085337306"/>
          <c:w val="0.834711585896728"/>
          <c:h val="0.75208463806889003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20542368749593637"/>
                  <c:y val="0.43813055568875359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400" baseline="0"/>
                  </a:pPr>
                  <a:endParaRPr lang="en-US"/>
                </a:p>
              </c:txPr>
            </c:trendlineLbl>
          </c:trendline>
          <c:xVal>
            <c:numRef>
              <c:f>Concentrations!$O$5:$O$79</c:f>
              <c:numCache>
                <c:formatCode>General</c:formatCode>
                <c:ptCount val="75"/>
                <c:pt idx="0" formatCode="0.00">
                  <c:v>2.4151091582414264</c:v>
                </c:pt>
                <c:pt idx="2" formatCode="0.00">
                  <c:v>2.3419753102451861</c:v>
                </c:pt>
                <c:pt idx="4" formatCode="0.00">
                  <c:v>2.4479758163356573</c:v>
                </c:pt>
                <c:pt idx="6" formatCode="0.00">
                  <c:v>2.3918075458918255</c:v>
                </c:pt>
                <c:pt idx="8" formatCode="0.00">
                  <c:v>2.3714154564235437</c:v>
                </c:pt>
                <c:pt idx="10" formatCode="0.00">
                  <c:v>2.2843685594316989</c:v>
                </c:pt>
                <c:pt idx="12" formatCode="0.00">
                  <c:v>2.271076123315968</c:v>
                </c:pt>
                <c:pt idx="14" formatCode="0.00">
                  <c:v>2.1390459831372111</c:v>
                </c:pt>
                <c:pt idx="16" formatCode="0.00">
                  <c:v>1.8092272585427991</c:v>
                </c:pt>
                <c:pt idx="18" formatCode="0.00">
                  <c:v>1.8165628724827125</c:v>
                </c:pt>
                <c:pt idx="20" formatCode="0.00">
                  <c:v>1.7504464594070341</c:v>
                </c:pt>
                <c:pt idx="22" formatCode="0.00">
                  <c:v>1.5063348904380969</c:v>
                </c:pt>
                <c:pt idx="24" formatCode="0.00">
                  <c:v>1.4958420918884883</c:v>
                </c:pt>
                <c:pt idx="26" formatCode="0.00">
                  <c:v>1.6417207447081639</c:v>
                </c:pt>
                <c:pt idx="28" formatCode="0.00">
                  <c:v>1.683955072556897</c:v>
                </c:pt>
                <c:pt idx="30" formatCode="0.00">
                  <c:v>1.6108258169519825</c:v>
                </c:pt>
                <c:pt idx="32" formatCode="0.00">
                  <c:v>1.4590571433397486</c:v>
                </c:pt>
                <c:pt idx="34" formatCode="0.00">
                  <c:v>1.2355267533077858</c:v>
                </c:pt>
                <c:pt idx="36" formatCode="0.00">
                  <c:v>1.1980654825072536</c:v>
                </c:pt>
                <c:pt idx="38" formatCode="0.00">
                  <c:v>1.1852036235164367</c:v>
                </c:pt>
                <c:pt idx="40" formatCode="0.00">
                  <c:v>0.86243026941965473</c:v>
                </c:pt>
                <c:pt idx="42" formatCode="0.00">
                  <c:v>0.82439433583038313</c:v>
                </c:pt>
                <c:pt idx="44" formatCode="0.00">
                  <c:v>0.92066945441540804</c:v>
                </c:pt>
                <c:pt idx="46" formatCode="0.00">
                  <c:v>1.0692578182822172</c:v>
                </c:pt>
                <c:pt idx="48" formatCode="0.00">
                  <c:v>0.77966152764400454</c:v>
                </c:pt>
                <c:pt idx="50" formatCode="0.00">
                  <c:v>0.76053002351067511</c:v>
                </c:pt>
                <c:pt idx="52" formatCode="0.00">
                  <c:v>0.72708479500188083</c:v>
                </c:pt>
                <c:pt idx="54" formatCode="0.00">
                  <c:v>0.68025220005111386</c:v>
                </c:pt>
                <c:pt idx="56" formatCode="0.00">
                  <c:v>0.23919971647555693</c:v>
                </c:pt>
                <c:pt idx="58" formatCode="0.00">
                  <c:v>0.1224161047860126</c:v>
                </c:pt>
                <c:pt idx="60" formatCode="0.00">
                  <c:v>3.6684865308458867E-2</c:v>
                </c:pt>
                <c:pt idx="62" formatCode="0.00">
                  <c:v>-0.4145363243241581</c:v>
                </c:pt>
                <c:pt idx="64" formatCode="0.00">
                  <c:v>-0.56884075923515875</c:v>
                </c:pt>
                <c:pt idx="66" formatCode="0.00">
                  <c:v>-1.0623747812328508</c:v>
                </c:pt>
                <c:pt idx="68" formatCode="0.00">
                  <c:v>-1.3719161499738748</c:v>
                </c:pt>
                <c:pt idx="70" formatCode="0.00">
                  <c:v>0</c:v>
                </c:pt>
                <c:pt idx="72" formatCode="0.00">
                  <c:v>0</c:v>
                </c:pt>
                <c:pt idx="74" formatCode="0.00">
                  <c:v>0</c:v>
                </c:pt>
              </c:numCache>
            </c:numRef>
          </c:xVal>
          <c:yVal>
            <c:numRef>
              <c:f>Concentrations!$N$5:$N$79</c:f>
              <c:numCache>
                <c:formatCode>0.00</c:formatCode>
                <c:ptCount val="75"/>
                <c:pt idx="0">
                  <c:v>0.11305196145</c:v>
                </c:pt>
                <c:pt idx="2">
                  <c:v>0.36344806950000003</c:v>
                </c:pt>
                <c:pt idx="4">
                  <c:v>0.64298113364999998</c:v>
                </c:pt>
                <c:pt idx="6">
                  <c:v>0.93134726709999993</c:v>
                </c:pt>
                <c:pt idx="8">
                  <c:v>1.2253343395499998</c:v>
                </c:pt>
                <c:pt idx="10">
                  <c:v>1.5205182124499999</c:v>
                </c:pt>
                <c:pt idx="12">
                  <c:v>1.81244428245</c:v>
                </c:pt>
                <c:pt idx="14">
                  <c:v>2.0983551990000002</c:v>
                </c:pt>
                <c:pt idx="16">
                  <c:v>2.3814719588999997</c:v>
                </c:pt>
                <c:pt idx="18">
                  <c:v>2.6552368568000002</c:v>
                </c:pt>
                <c:pt idx="20">
                  <c:v>2.9218481233000002</c:v>
                </c:pt>
                <c:pt idx="22">
                  <c:v>3.1830338817500001</c:v>
                </c:pt>
                <c:pt idx="24">
                  <c:v>3.4442700522499998</c:v>
                </c:pt>
                <c:pt idx="26">
                  <c:v>3.71374820555</c:v>
                </c:pt>
                <c:pt idx="28">
                  <c:v>3.985852661</c:v>
                </c:pt>
                <c:pt idx="30">
                  <c:v>4.2568403338999996</c:v>
                </c:pt>
                <c:pt idx="32">
                  <c:v>4.5256367015500008</c:v>
                </c:pt>
                <c:pt idx="34">
                  <c:v>4.7964493217000008</c:v>
                </c:pt>
                <c:pt idx="36">
                  <c:v>5.068132222900001</c:v>
                </c:pt>
                <c:pt idx="38">
                  <c:v>5.3380710946000001</c:v>
                </c:pt>
                <c:pt idx="40">
                  <c:v>5.6348201716500004</c:v>
                </c:pt>
                <c:pt idx="42">
                  <c:v>5.9607994087999998</c:v>
                </c:pt>
                <c:pt idx="44">
                  <c:v>6.2904518314499995</c:v>
                </c:pt>
                <c:pt idx="46">
                  <c:v>6.6224317173999996</c:v>
                </c:pt>
                <c:pt idx="48">
                  <c:v>6.9388909965500005</c:v>
                </c:pt>
                <c:pt idx="50">
                  <c:v>7.2464828845499998</c:v>
                </c:pt>
                <c:pt idx="52">
                  <c:v>7.5534926540499994</c:v>
                </c:pt>
                <c:pt idx="54">
                  <c:v>7.8596958605499996</c:v>
                </c:pt>
                <c:pt idx="56">
                  <c:v>8.1673303279000002</c:v>
                </c:pt>
                <c:pt idx="58">
                  <c:v>8.4825684370000012</c:v>
                </c:pt>
                <c:pt idx="60">
                  <c:v>8.8118726478000013</c:v>
                </c:pt>
                <c:pt idx="62">
                  <c:v>9.1283870904000004</c:v>
                </c:pt>
                <c:pt idx="64">
                  <c:v>9.4312572597499997</c:v>
                </c:pt>
                <c:pt idx="66">
                  <c:v>9.7299205507999993</c:v>
                </c:pt>
                <c:pt idx="68">
                  <c:v>10.02816742325</c:v>
                </c:pt>
                <c:pt idx="70">
                  <c:v>10.32551282835</c:v>
                </c:pt>
                <c:pt idx="72">
                  <c:v>10.616057958700001</c:v>
                </c:pt>
                <c:pt idx="74">
                  <c:v>10.891584761950002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4E-A445-9291-CD26B1B81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07867424"/>
        <c:axId val="-2020497760"/>
      </c:scatterChart>
      <c:valAx>
        <c:axId val="-2007867424"/>
        <c:scaling>
          <c:orientation val="minMax"/>
          <c:max val="3"/>
          <c:min val="-1"/>
        </c:scaling>
        <c:delete val="0"/>
        <c:axPos val="t"/>
        <c:title>
          <c:tx>
            <c:rich>
              <a:bodyPr rot="-5400000" vert="horz"/>
              <a:lstStyle/>
              <a:p>
                <a:pPr algn="ctr"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mi (g cm</a:t>
                </a:r>
                <a:r>
                  <a:rPr lang="en-US" sz="1000" b="0" i="0" u="none" strike="noStrike" baseline="3000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rPr>
                  <a:t>-2</a:t>
                </a:r>
                <a:r>
                  <a:rPr lang="en-US"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) </a:t>
                </a:r>
              </a:p>
            </c:rich>
          </c:tx>
          <c:layout>
            <c:manualLayout>
              <c:xMode val="edge"/>
              <c:yMode val="edge"/>
              <c:x val="1.23971345687052E-2"/>
              <c:y val="0.453306872063334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020497760"/>
        <c:crosses val="autoZero"/>
        <c:crossBetween val="midCat"/>
      </c:valAx>
      <c:valAx>
        <c:axId val="-2020497760"/>
        <c:scaling>
          <c:orientation val="maxMin"/>
          <c:max val="15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007867424"/>
        <c:crossesAt val="-3"/>
        <c:crossBetween val="midCat"/>
        <c:majorUnit val="5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5" r="0.75" t="0.75" header="0.5" footer="0.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30000"/>
              <a:t>226</a:t>
            </a:r>
            <a:r>
              <a:rPr lang="en-US"/>
              <a:t>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Concentrations!$A$5:$A$79</c:f>
              <c:numCache>
                <c:formatCode>General</c:formatCode>
                <c:ptCount val="75"/>
                <c:pt idx="0">
                  <c:v>0.5</c:v>
                </c:pt>
                <c:pt idx="2">
                  <c:v>1.5</c:v>
                </c:pt>
                <c:pt idx="4">
                  <c:v>2.5</c:v>
                </c:pt>
                <c:pt idx="6">
                  <c:v>3.5</c:v>
                </c:pt>
                <c:pt idx="8">
                  <c:v>4.5</c:v>
                </c:pt>
                <c:pt idx="10">
                  <c:v>5.5</c:v>
                </c:pt>
                <c:pt idx="12">
                  <c:v>6.5</c:v>
                </c:pt>
                <c:pt idx="14">
                  <c:v>7.5</c:v>
                </c:pt>
                <c:pt idx="16">
                  <c:v>8.5</c:v>
                </c:pt>
                <c:pt idx="18">
                  <c:v>9.5</c:v>
                </c:pt>
                <c:pt idx="20">
                  <c:v>10.5</c:v>
                </c:pt>
                <c:pt idx="22">
                  <c:v>11.5</c:v>
                </c:pt>
                <c:pt idx="24">
                  <c:v>12.5</c:v>
                </c:pt>
                <c:pt idx="26">
                  <c:v>13.5</c:v>
                </c:pt>
                <c:pt idx="28">
                  <c:v>14.5</c:v>
                </c:pt>
                <c:pt idx="30">
                  <c:v>15.5</c:v>
                </c:pt>
                <c:pt idx="32">
                  <c:v>16.5</c:v>
                </c:pt>
                <c:pt idx="34">
                  <c:v>17.5</c:v>
                </c:pt>
                <c:pt idx="36">
                  <c:v>18.5</c:v>
                </c:pt>
                <c:pt idx="38">
                  <c:v>19.5</c:v>
                </c:pt>
                <c:pt idx="40">
                  <c:v>20.5</c:v>
                </c:pt>
                <c:pt idx="42">
                  <c:v>21.5</c:v>
                </c:pt>
                <c:pt idx="44">
                  <c:v>22.5</c:v>
                </c:pt>
                <c:pt idx="46">
                  <c:v>23.5</c:v>
                </c:pt>
                <c:pt idx="48">
                  <c:v>24.5</c:v>
                </c:pt>
                <c:pt idx="50">
                  <c:v>25.5</c:v>
                </c:pt>
                <c:pt idx="52">
                  <c:v>26.5</c:v>
                </c:pt>
                <c:pt idx="54">
                  <c:v>27.5</c:v>
                </c:pt>
                <c:pt idx="56">
                  <c:v>28.5</c:v>
                </c:pt>
                <c:pt idx="58">
                  <c:v>29.5</c:v>
                </c:pt>
                <c:pt idx="60">
                  <c:v>30.5</c:v>
                </c:pt>
                <c:pt idx="62">
                  <c:v>31.5</c:v>
                </c:pt>
                <c:pt idx="64">
                  <c:v>32.5</c:v>
                </c:pt>
                <c:pt idx="66">
                  <c:v>33.5</c:v>
                </c:pt>
                <c:pt idx="68">
                  <c:v>34.5</c:v>
                </c:pt>
                <c:pt idx="70">
                  <c:v>35.5</c:v>
                </c:pt>
                <c:pt idx="72">
                  <c:v>36.5</c:v>
                </c:pt>
                <c:pt idx="74">
                  <c:v>37.5</c:v>
                </c:pt>
              </c:numCache>
            </c:numRef>
          </c:xVal>
          <c:yVal>
            <c:numRef>
              <c:f>Concentrations!$E$5:$E$79</c:f>
              <c:numCache>
                <c:formatCode>0.00</c:formatCode>
                <c:ptCount val="75"/>
                <c:pt idx="0">
                  <c:v>0.7</c:v>
                </c:pt>
                <c:pt idx="2">
                  <c:v>0.7</c:v>
                </c:pt>
                <c:pt idx="4">
                  <c:v>0.7</c:v>
                </c:pt>
                <c:pt idx="6">
                  <c:v>0.7</c:v>
                </c:pt>
                <c:pt idx="8">
                  <c:v>0.7</c:v>
                </c:pt>
                <c:pt idx="10">
                  <c:v>0.7</c:v>
                </c:pt>
                <c:pt idx="12">
                  <c:v>0.7</c:v>
                </c:pt>
                <c:pt idx="14">
                  <c:v>0.7</c:v>
                </c:pt>
                <c:pt idx="16">
                  <c:v>0.7</c:v>
                </c:pt>
                <c:pt idx="18">
                  <c:v>0.7</c:v>
                </c:pt>
                <c:pt idx="20">
                  <c:v>0.7</c:v>
                </c:pt>
                <c:pt idx="22">
                  <c:v>0.7</c:v>
                </c:pt>
                <c:pt idx="24">
                  <c:v>0.7</c:v>
                </c:pt>
                <c:pt idx="26">
                  <c:v>0.7</c:v>
                </c:pt>
                <c:pt idx="28">
                  <c:v>0.7</c:v>
                </c:pt>
                <c:pt idx="30">
                  <c:v>0.7</c:v>
                </c:pt>
                <c:pt idx="32">
                  <c:v>0.7</c:v>
                </c:pt>
                <c:pt idx="34">
                  <c:v>0.7</c:v>
                </c:pt>
                <c:pt idx="36">
                  <c:v>0.7</c:v>
                </c:pt>
                <c:pt idx="38">
                  <c:v>0.7</c:v>
                </c:pt>
                <c:pt idx="40">
                  <c:v>0.7</c:v>
                </c:pt>
                <c:pt idx="42">
                  <c:v>0.7</c:v>
                </c:pt>
                <c:pt idx="44">
                  <c:v>0.7</c:v>
                </c:pt>
                <c:pt idx="46">
                  <c:v>0.7</c:v>
                </c:pt>
                <c:pt idx="48">
                  <c:v>0.7</c:v>
                </c:pt>
                <c:pt idx="50">
                  <c:v>0.7</c:v>
                </c:pt>
                <c:pt idx="52">
                  <c:v>0.7</c:v>
                </c:pt>
                <c:pt idx="54">
                  <c:v>0.7</c:v>
                </c:pt>
                <c:pt idx="56">
                  <c:v>0.7</c:v>
                </c:pt>
                <c:pt idx="58">
                  <c:v>0.7</c:v>
                </c:pt>
                <c:pt idx="60">
                  <c:v>0.7</c:v>
                </c:pt>
                <c:pt idx="62">
                  <c:v>0.7</c:v>
                </c:pt>
                <c:pt idx="64">
                  <c:v>0.7</c:v>
                </c:pt>
                <c:pt idx="66">
                  <c:v>0.7</c:v>
                </c:pt>
                <c:pt idx="68">
                  <c:v>0.7</c:v>
                </c:pt>
                <c:pt idx="70">
                  <c:v>0.7</c:v>
                </c:pt>
                <c:pt idx="72">
                  <c:v>0.7</c:v>
                </c:pt>
                <c:pt idx="74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EC-C645-8FC6-866237AEE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846224"/>
        <c:axId val="854033007"/>
      </c:scatterChart>
      <c:valAx>
        <c:axId val="168884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  <a:r>
                  <a:rPr lang="en-US" baseline="0"/>
                  <a:t> (cm)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033007"/>
        <c:crosses val="autoZero"/>
        <c:crossBetween val="midCat"/>
      </c:valAx>
      <c:valAx>
        <c:axId val="8540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Ra-226 (dpm/g)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84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Pb-210 vs Depth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Concentrations!$A$5:$A$79</c:f>
              <c:numCache>
                <c:formatCode>General</c:formatCode>
                <c:ptCount val="75"/>
                <c:pt idx="0">
                  <c:v>0.5</c:v>
                </c:pt>
                <c:pt idx="2">
                  <c:v>1.5</c:v>
                </c:pt>
                <c:pt idx="4">
                  <c:v>2.5</c:v>
                </c:pt>
                <c:pt idx="6">
                  <c:v>3.5</c:v>
                </c:pt>
                <c:pt idx="8">
                  <c:v>4.5</c:v>
                </c:pt>
                <c:pt idx="10">
                  <c:v>5.5</c:v>
                </c:pt>
                <c:pt idx="12">
                  <c:v>6.5</c:v>
                </c:pt>
                <c:pt idx="14">
                  <c:v>7.5</c:v>
                </c:pt>
                <c:pt idx="16">
                  <c:v>8.5</c:v>
                </c:pt>
                <c:pt idx="18">
                  <c:v>9.5</c:v>
                </c:pt>
                <c:pt idx="20">
                  <c:v>10.5</c:v>
                </c:pt>
                <c:pt idx="22">
                  <c:v>11.5</c:v>
                </c:pt>
                <c:pt idx="24">
                  <c:v>12.5</c:v>
                </c:pt>
                <c:pt idx="26">
                  <c:v>13.5</c:v>
                </c:pt>
                <c:pt idx="28">
                  <c:v>14.5</c:v>
                </c:pt>
                <c:pt idx="30">
                  <c:v>15.5</c:v>
                </c:pt>
                <c:pt idx="32">
                  <c:v>16.5</c:v>
                </c:pt>
                <c:pt idx="34">
                  <c:v>17.5</c:v>
                </c:pt>
                <c:pt idx="36">
                  <c:v>18.5</c:v>
                </c:pt>
                <c:pt idx="38">
                  <c:v>19.5</c:v>
                </c:pt>
                <c:pt idx="40">
                  <c:v>20.5</c:v>
                </c:pt>
                <c:pt idx="42">
                  <c:v>21.5</c:v>
                </c:pt>
                <c:pt idx="44">
                  <c:v>22.5</c:v>
                </c:pt>
                <c:pt idx="46">
                  <c:v>23.5</c:v>
                </c:pt>
                <c:pt idx="48">
                  <c:v>24.5</c:v>
                </c:pt>
                <c:pt idx="50">
                  <c:v>25.5</c:v>
                </c:pt>
                <c:pt idx="52">
                  <c:v>26.5</c:v>
                </c:pt>
                <c:pt idx="54">
                  <c:v>27.5</c:v>
                </c:pt>
                <c:pt idx="56">
                  <c:v>28.5</c:v>
                </c:pt>
                <c:pt idx="58">
                  <c:v>29.5</c:v>
                </c:pt>
                <c:pt idx="60">
                  <c:v>30.5</c:v>
                </c:pt>
                <c:pt idx="62">
                  <c:v>31.5</c:v>
                </c:pt>
                <c:pt idx="64">
                  <c:v>32.5</c:v>
                </c:pt>
                <c:pt idx="66">
                  <c:v>33.5</c:v>
                </c:pt>
                <c:pt idx="68">
                  <c:v>34.5</c:v>
                </c:pt>
                <c:pt idx="70">
                  <c:v>35.5</c:v>
                </c:pt>
                <c:pt idx="72">
                  <c:v>36.5</c:v>
                </c:pt>
                <c:pt idx="74">
                  <c:v>37.5</c:v>
                </c:pt>
              </c:numCache>
            </c:numRef>
          </c:xVal>
          <c:yVal>
            <c:numRef>
              <c:f>Concentrations!$C$5:$C$81</c:f>
              <c:numCache>
                <c:formatCode>0.000</c:formatCode>
                <c:ptCount val="77"/>
                <c:pt idx="0">
                  <c:v>11.890991879875299</c:v>
                </c:pt>
                <c:pt idx="2">
                  <c:v>11.1017629920307</c:v>
                </c:pt>
                <c:pt idx="4">
                  <c:v>12.2649135016668</c:v>
                </c:pt>
                <c:pt idx="6">
                  <c:v>11.6332384233355</c:v>
                </c:pt>
                <c:pt idx="8">
                  <c:v>11.412544697995701</c:v>
                </c:pt>
                <c:pt idx="10">
                  <c:v>10.519483845546899</c:v>
                </c:pt>
                <c:pt idx="12">
                  <c:v>10.3898226495578</c:v>
                </c:pt>
                <c:pt idx="14">
                  <c:v>9.1913328887080503</c:v>
                </c:pt>
                <c:pt idx="16">
                  <c:v>6.8057274600716298</c:v>
                </c:pt>
                <c:pt idx="18">
                  <c:v>6.8506814003310597</c:v>
                </c:pt>
                <c:pt idx="20">
                  <c:v>6.4571724461105102</c:v>
                </c:pt>
                <c:pt idx="22">
                  <c:v>5.2101701967363603</c:v>
                </c:pt>
                <c:pt idx="24">
                  <c:v>5.1630933055305004</c:v>
                </c:pt>
                <c:pt idx="26">
                  <c:v>5.8640478794034996</c:v>
                </c:pt>
                <c:pt idx="28">
                  <c:v>6.0868191552963404</c:v>
                </c:pt>
                <c:pt idx="30">
                  <c:v>5.7069443405154701</c:v>
                </c:pt>
                <c:pt idx="32">
                  <c:v>5.0019015390768597</c:v>
                </c:pt>
                <c:pt idx="34">
                  <c:v>4.1401901750699004</c:v>
                </c:pt>
                <c:pt idx="36">
                  <c:v>4.0137003070003496</c:v>
                </c:pt>
                <c:pt idx="38">
                  <c:v>3.97135287802779</c:v>
                </c:pt>
                <c:pt idx="40">
                  <c:v>3.06891079519123</c:v>
                </c:pt>
                <c:pt idx="42">
                  <c:v>2.9804991303560402</c:v>
                </c:pt>
                <c:pt idx="44">
                  <c:v>3.21097080788623</c:v>
                </c:pt>
                <c:pt idx="46">
                  <c:v>3.61321656135775</c:v>
                </c:pt>
                <c:pt idx="48">
                  <c:v>2.8807340223854498</c:v>
                </c:pt>
                <c:pt idx="50">
                  <c:v>2.83940985756661</c:v>
                </c:pt>
                <c:pt idx="52">
                  <c:v>2.7690401312066002</c:v>
                </c:pt>
                <c:pt idx="54">
                  <c:v>2.6743756070748002</c:v>
                </c:pt>
                <c:pt idx="56">
                  <c:v>1.9702321975504899</c:v>
                </c:pt>
                <c:pt idx="58">
                  <c:v>1.8302242956872701</c:v>
                </c:pt>
                <c:pt idx="60">
                  <c:v>1.7373660592892901</c:v>
                </c:pt>
                <c:pt idx="62">
                  <c:v>1.36064653542687</c:v>
                </c:pt>
                <c:pt idx="64">
                  <c:v>1.2661813989761199</c:v>
                </c:pt>
                <c:pt idx="66">
                  <c:v>1.04563402973445</c:v>
                </c:pt>
                <c:pt idx="68">
                  <c:v>0.95362051870453701</c:v>
                </c:pt>
                <c:pt idx="70">
                  <c:v>0.691214821104292</c:v>
                </c:pt>
                <c:pt idx="72">
                  <c:v>0.58859165953341297</c:v>
                </c:pt>
                <c:pt idx="74">
                  <c:v>0.481957898420241</c:v>
                </c:pt>
                <c:pt idx="76">
                  <c:v>0.45580188645127101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BE-B447-9A57-D7E9F1BC5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494624"/>
        <c:axId val="1252833008"/>
      </c:scatterChart>
      <c:valAx>
        <c:axId val="125249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833008"/>
        <c:crosses val="autoZero"/>
        <c:crossBetween val="midCat"/>
      </c:valAx>
      <c:valAx>
        <c:axId val="125283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Pb-210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49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XS Pb-210 vs Depth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513385826771655"/>
                  <c:y val="7.01345144356955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Concentrations!$A$5:$A$61</c:f>
              <c:numCache>
                <c:formatCode>General</c:formatCode>
                <c:ptCount val="57"/>
                <c:pt idx="0">
                  <c:v>0.5</c:v>
                </c:pt>
                <c:pt idx="2">
                  <c:v>1.5</c:v>
                </c:pt>
                <c:pt idx="4">
                  <c:v>2.5</c:v>
                </c:pt>
                <c:pt idx="6">
                  <c:v>3.5</c:v>
                </c:pt>
                <c:pt idx="8">
                  <c:v>4.5</c:v>
                </c:pt>
                <c:pt idx="10">
                  <c:v>5.5</c:v>
                </c:pt>
                <c:pt idx="12">
                  <c:v>6.5</c:v>
                </c:pt>
                <c:pt idx="14">
                  <c:v>7.5</c:v>
                </c:pt>
                <c:pt idx="16">
                  <c:v>8.5</c:v>
                </c:pt>
                <c:pt idx="18">
                  <c:v>9.5</c:v>
                </c:pt>
                <c:pt idx="20">
                  <c:v>10.5</c:v>
                </c:pt>
                <c:pt idx="22">
                  <c:v>11.5</c:v>
                </c:pt>
                <c:pt idx="24">
                  <c:v>12.5</c:v>
                </c:pt>
                <c:pt idx="26">
                  <c:v>13.5</c:v>
                </c:pt>
                <c:pt idx="28">
                  <c:v>14.5</c:v>
                </c:pt>
                <c:pt idx="30">
                  <c:v>15.5</c:v>
                </c:pt>
                <c:pt idx="32">
                  <c:v>16.5</c:v>
                </c:pt>
                <c:pt idx="34">
                  <c:v>17.5</c:v>
                </c:pt>
                <c:pt idx="36">
                  <c:v>18.5</c:v>
                </c:pt>
                <c:pt idx="38">
                  <c:v>19.5</c:v>
                </c:pt>
                <c:pt idx="40">
                  <c:v>20.5</c:v>
                </c:pt>
                <c:pt idx="42">
                  <c:v>21.5</c:v>
                </c:pt>
                <c:pt idx="44">
                  <c:v>22.5</c:v>
                </c:pt>
                <c:pt idx="46">
                  <c:v>23.5</c:v>
                </c:pt>
                <c:pt idx="48">
                  <c:v>24.5</c:v>
                </c:pt>
                <c:pt idx="50">
                  <c:v>25.5</c:v>
                </c:pt>
                <c:pt idx="52">
                  <c:v>26.5</c:v>
                </c:pt>
                <c:pt idx="54">
                  <c:v>27.5</c:v>
                </c:pt>
                <c:pt idx="56">
                  <c:v>28.5</c:v>
                </c:pt>
              </c:numCache>
            </c:numRef>
          </c:xVal>
          <c:yVal>
            <c:numRef>
              <c:f>Concentrations!$G$5:$G$79</c:f>
              <c:numCache>
                <c:formatCode>General</c:formatCode>
                <c:ptCount val="75"/>
                <c:pt idx="0" formatCode="0.00">
                  <c:v>11.1909918798753</c:v>
                </c:pt>
                <c:pt idx="2" formatCode="0.00">
                  <c:v>10.401762992030701</c:v>
                </c:pt>
                <c:pt idx="4" formatCode="0.00">
                  <c:v>11.564913501666801</c:v>
                </c:pt>
                <c:pt idx="6" formatCode="0.00">
                  <c:v>10.933238423335501</c:v>
                </c:pt>
                <c:pt idx="8" formatCode="0.00">
                  <c:v>10.712544697995702</c:v>
                </c:pt>
                <c:pt idx="10" formatCode="0.00">
                  <c:v>9.8194838455469</c:v>
                </c:pt>
                <c:pt idx="12" formatCode="0.00">
                  <c:v>9.6898226495578008</c:v>
                </c:pt>
                <c:pt idx="14" formatCode="0.00">
                  <c:v>8.491332888708051</c:v>
                </c:pt>
                <c:pt idx="16" formatCode="0.00">
                  <c:v>6.1057274600716296</c:v>
                </c:pt>
                <c:pt idx="18" formatCode="0.00">
                  <c:v>6.1506814003310595</c:v>
                </c:pt>
                <c:pt idx="20" formatCode="0.00">
                  <c:v>5.75717244611051</c:v>
                </c:pt>
                <c:pt idx="22" formatCode="0.00">
                  <c:v>4.5101701967363601</c:v>
                </c:pt>
                <c:pt idx="24" formatCode="0.00">
                  <c:v>4.4630933055305002</c:v>
                </c:pt>
                <c:pt idx="26" formatCode="0.00">
                  <c:v>5.1640478794034994</c:v>
                </c:pt>
                <c:pt idx="28" formatCode="0.00">
                  <c:v>5.3868191552963403</c:v>
                </c:pt>
                <c:pt idx="30" formatCode="0.00">
                  <c:v>5.0069443405154699</c:v>
                </c:pt>
                <c:pt idx="32" formatCode="0.00">
                  <c:v>4.3019015390768596</c:v>
                </c:pt>
                <c:pt idx="34" formatCode="0.00">
                  <c:v>3.4401901750699002</c:v>
                </c:pt>
                <c:pt idx="36" formatCode="0.00">
                  <c:v>3.3137003070003495</c:v>
                </c:pt>
                <c:pt idx="38" formatCode="0.00">
                  <c:v>3.2713528780277903</c:v>
                </c:pt>
                <c:pt idx="40" formatCode="0.00">
                  <c:v>2.3689107951912298</c:v>
                </c:pt>
                <c:pt idx="42" formatCode="0.00">
                  <c:v>2.2804991303560405</c:v>
                </c:pt>
                <c:pt idx="44" formatCode="0.00">
                  <c:v>2.5109708078862303</c:v>
                </c:pt>
                <c:pt idx="46" formatCode="0.00">
                  <c:v>2.9132165613577499</c:v>
                </c:pt>
                <c:pt idx="48" formatCode="0.00">
                  <c:v>2.1807340223854501</c:v>
                </c:pt>
                <c:pt idx="50" formatCode="0.00">
                  <c:v>2.1394098575666103</c:v>
                </c:pt>
                <c:pt idx="52" formatCode="0.00">
                  <c:v>2.0690401312066005</c:v>
                </c:pt>
                <c:pt idx="54" formatCode="0.00">
                  <c:v>1.9743756070748002</c:v>
                </c:pt>
                <c:pt idx="56" formatCode="0.00">
                  <c:v>1.27023219755049</c:v>
                </c:pt>
                <c:pt idx="58" formatCode="0.0000">
                  <c:v>1.1302242956872701</c:v>
                </c:pt>
                <c:pt idx="60" formatCode="0.0000">
                  <c:v>1.0373660592892902</c:v>
                </c:pt>
                <c:pt idx="62" formatCode="0.0000">
                  <c:v>0.66064653542687002</c:v>
                </c:pt>
                <c:pt idx="64" formatCode="0.0000">
                  <c:v>0.56618139897611997</c:v>
                </c:pt>
                <c:pt idx="66" formatCode="0.0000">
                  <c:v>0.34563402973445001</c:v>
                </c:pt>
                <c:pt idx="68" formatCode="0.0000">
                  <c:v>0.25362051870453706</c:v>
                </c:pt>
                <c:pt idx="70" formatCode="0.0000">
                  <c:v>-8.7851788957079568E-3</c:v>
                </c:pt>
                <c:pt idx="72" formatCode="0.0000">
                  <c:v>-0.11140834046658699</c:v>
                </c:pt>
                <c:pt idx="74" formatCode="0.0000">
                  <c:v>-0.21804210157975895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56-6449-86AD-415C07182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820768"/>
        <c:axId val="1213310032"/>
      </c:scatterChart>
      <c:valAx>
        <c:axId val="121582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310032"/>
        <c:crosses val="autoZero"/>
        <c:crossBetween val="midCat"/>
      </c:valAx>
      <c:valAx>
        <c:axId val="121331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XS</a:t>
                </a:r>
                <a:r>
                  <a:rPr lang="en-US" baseline="0"/>
                  <a:t> Pb-210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82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2578281858337552"/>
                  <c:y val="-0.17313024186308959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400" baseline="0"/>
                  </a:pPr>
                  <a:endParaRPr lang="en-US"/>
                </a:p>
              </c:txPr>
            </c:trendlineLbl>
          </c:trendline>
          <c:xVal>
            <c:numRef>
              <c:f>'C0 CA'!$B$18:$B$27</c:f>
              <c:numCache>
                <c:formatCode>0.00</c:formatCode>
                <c:ptCount val="10"/>
                <c:pt idx="0">
                  <c:v>0.11305196145</c:v>
                </c:pt>
                <c:pt idx="1">
                  <c:v>0.36344806950000003</c:v>
                </c:pt>
                <c:pt idx="2">
                  <c:v>0.64298113364999998</c:v>
                </c:pt>
                <c:pt idx="3">
                  <c:v>0.93134726709999993</c:v>
                </c:pt>
                <c:pt idx="4">
                  <c:v>1.2253343395499998</c:v>
                </c:pt>
                <c:pt idx="5">
                  <c:v>1.5205182124499999</c:v>
                </c:pt>
                <c:pt idx="6">
                  <c:v>1.81244428245</c:v>
                </c:pt>
                <c:pt idx="7">
                  <c:v>2.0983551990000002</c:v>
                </c:pt>
                <c:pt idx="8">
                  <c:v>2.3814719588999997</c:v>
                </c:pt>
                <c:pt idx="9">
                  <c:v>2.6552368568000002</c:v>
                </c:pt>
              </c:numCache>
            </c:numRef>
          </c:xVal>
          <c:yVal>
            <c:numRef>
              <c:f>'C0 CA'!$C$18:$C$27</c:f>
              <c:numCache>
                <c:formatCode>0.00</c:formatCode>
                <c:ptCount val="10"/>
                <c:pt idx="0">
                  <c:v>2.4151091582414264</c:v>
                </c:pt>
                <c:pt idx="1">
                  <c:v>2.3419753102451861</c:v>
                </c:pt>
                <c:pt idx="2">
                  <c:v>2.4479758163356573</c:v>
                </c:pt>
                <c:pt idx="3">
                  <c:v>2.3918075458918255</c:v>
                </c:pt>
                <c:pt idx="4">
                  <c:v>2.3714154564235437</c:v>
                </c:pt>
                <c:pt idx="5">
                  <c:v>2.2843685594316989</c:v>
                </c:pt>
                <c:pt idx="6">
                  <c:v>2.271076123315968</c:v>
                </c:pt>
                <c:pt idx="7">
                  <c:v>2.1390459831372111</c:v>
                </c:pt>
                <c:pt idx="8">
                  <c:v>1.8092272585427991</c:v>
                </c:pt>
                <c:pt idx="9">
                  <c:v>1.8165628724827125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E4-7640-839B-8244A87D7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7462768"/>
        <c:axId val="-2018788736"/>
      </c:scatterChart>
      <c:valAx>
        <c:axId val="-2097462768"/>
        <c:scaling>
          <c:orientation val="minMax"/>
          <c:max val="1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18788736"/>
        <c:crossesAt val="-1"/>
        <c:crossBetween val="midCat"/>
      </c:valAx>
      <c:valAx>
        <c:axId val="-2018788736"/>
        <c:scaling>
          <c:orientation val="minMax"/>
          <c:max val="2.5"/>
          <c:min val="1.5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Ci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-2097462768"/>
        <c:crossesAt val="-0.60000000000000009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875807198601201"/>
          <c:y val="6.0185185185185203E-2"/>
          <c:w val="0.59835013870194997"/>
          <c:h val="0.77187105922104604"/>
        </c:manualLayout>
      </c:layout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circle"/>
            <c:size val="6"/>
            <c:spPr>
              <a:solidFill>
                <a:schemeClr val="accent2">
                  <a:lumMod val="60000"/>
                  <a:lumOff val="40000"/>
                </a:schemeClr>
              </a:solidFill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13613682135885272"/>
                  <c:y val="-0.13324327854522786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Masses!$K$8:$K$128</c:f>
              <c:numCache>
                <c:formatCode>0.000</c:formatCode>
                <c:ptCount val="121"/>
                <c:pt idx="0">
                  <c:v>0.11305196145</c:v>
                </c:pt>
                <c:pt idx="2">
                  <c:v>0.36344806950000003</c:v>
                </c:pt>
                <c:pt idx="4">
                  <c:v>0.64298113364999998</c:v>
                </c:pt>
                <c:pt idx="6">
                  <c:v>0.93134726709999993</c:v>
                </c:pt>
                <c:pt idx="8">
                  <c:v>1.2253343395499998</c:v>
                </c:pt>
                <c:pt idx="10">
                  <c:v>1.5205182124499999</c:v>
                </c:pt>
                <c:pt idx="12">
                  <c:v>1.81244428245</c:v>
                </c:pt>
                <c:pt idx="14">
                  <c:v>2.0983551990000002</c:v>
                </c:pt>
                <c:pt idx="16">
                  <c:v>2.3814719588999997</c:v>
                </c:pt>
                <c:pt idx="18">
                  <c:v>2.6552368568000002</c:v>
                </c:pt>
                <c:pt idx="20">
                  <c:v>2.9218481233000002</c:v>
                </c:pt>
                <c:pt idx="22">
                  <c:v>3.1830338817500001</c:v>
                </c:pt>
                <c:pt idx="24">
                  <c:v>3.4442700522499998</c:v>
                </c:pt>
                <c:pt idx="26">
                  <c:v>3.71374820555</c:v>
                </c:pt>
                <c:pt idx="28">
                  <c:v>3.985852661</c:v>
                </c:pt>
                <c:pt idx="30">
                  <c:v>4.2568403338999996</c:v>
                </c:pt>
                <c:pt idx="32">
                  <c:v>4.5256367015500008</c:v>
                </c:pt>
                <c:pt idx="34">
                  <c:v>4.7964493217000008</c:v>
                </c:pt>
                <c:pt idx="36">
                  <c:v>5.068132222900001</c:v>
                </c:pt>
                <c:pt idx="38">
                  <c:v>5.3380710946000001</c:v>
                </c:pt>
                <c:pt idx="40">
                  <c:v>5.6348201716500004</c:v>
                </c:pt>
                <c:pt idx="42">
                  <c:v>5.9607994087999998</c:v>
                </c:pt>
                <c:pt idx="44">
                  <c:v>6.2904518314499995</c:v>
                </c:pt>
                <c:pt idx="46">
                  <c:v>6.6224317173999996</c:v>
                </c:pt>
                <c:pt idx="48">
                  <c:v>6.9388909965500005</c:v>
                </c:pt>
                <c:pt idx="50">
                  <c:v>7.2464828845499998</c:v>
                </c:pt>
                <c:pt idx="52">
                  <c:v>7.5534926540499994</c:v>
                </c:pt>
                <c:pt idx="54">
                  <c:v>7.8596958605499996</c:v>
                </c:pt>
                <c:pt idx="56">
                  <c:v>8.1673303279000002</c:v>
                </c:pt>
                <c:pt idx="58">
                  <c:v>8.4825684370000012</c:v>
                </c:pt>
                <c:pt idx="60">
                  <c:v>8.8118726478000013</c:v>
                </c:pt>
                <c:pt idx="62">
                  <c:v>9.1283870904000004</c:v>
                </c:pt>
                <c:pt idx="64">
                  <c:v>9.4312572597499997</c:v>
                </c:pt>
                <c:pt idx="66">
                  <c:v>9.7299205507999993</c:v>
                </c:pt>
                <c:pt idx="68">
                  <c:v>10.02816742325</c:v>
                </c:pt>
                <c:pt idx="70">
                  <c:v>10.32551282835</c:v>
                </c:pt>
                <c:pt idx="72">
                  <c:v>10.616057958700001</c:v>
                </c:pt>
                <c:pt idx="74">
                  <c:v>10.891584761950002</c:v>
                </c:pt>
                <c:pt idx="76">
                  <c:v>11.160864430700002</c:v>
                </c:pt>
                <c:pt idx="78">
                  <c:v>11.440025440000003</c:v>
                </c:pt>
                <c:pt idx="80">
                  <c:v>11.721418921550002</c:v>
                </c:pt>
                <c:pt idx="82">
                  <c:v>11.995919724850003</c:v>
                </c:pt>
                <c:pt idx="84">
                  <c:v>12.259709155600003</c:v>
                </c:pt>
                <c:pt idx="86">
                  <c:v>12.523844273400002</c:v>
                </c:pt>
                <c:pt idx="88">
                  <c:v>12.789924812550002</c:v>
                </c:pt>
                <c:pt idx="90">
                  <c:v>13.055032843050004</c:v>
                </c:pt>
                <c:pt idx="92">
                  <c:v>13.325088766450003</c:v>
                </c:pt>
                <c:pt idx="94">
                  <c:v>13.603231883950002</c:v>
                </c:pt>
              </c:numCache>
            </c:numRef>
          </c:xVal>
          <c:yVal>
            <c:numRef>
              <c:f>CA!$B$5:$B$36</c:f>
              <c:numCache>
                <c:formatCode>0.000000</c:formatCode>
                <c:ptCount val="32"/>
                <c:pt idx="0">
                  <c:v>2.4151091582414264</c:v>
                </c:pt>
                <c:pt idx="2">
                  <c:v>2.3419753102451861</c:v>
                </c:pt>
                <c:pt idx="4">
                  <c:v>2.4479758163356573</c:v>
                </c:pt>
                <c:pt idx="6">
                  <c:v>2.3918075458918255</c:v>
                </c:pt>
                <c:pt idx="8">
                  <c:v>2.3714154564235437</c:v>
                </c:pt>
                <c:pt idx="10">
                  <c:v>2.2843685594316989</c:v>
                </c:pt>
                <c:pt idx="12" formatCode="0.00">
                  <c:v>2.271076123315968</c:v>
                </c:pt>
                <c:pt idx="14" formatCode="0.00">
                  <c:v>2.1390459831372111</c:v>
                </c:pt>
                <c:pt idx="16" formatCode="0.00">
                  <c:v>1.8092272585427991</c:v>
                </c:pt>
                <c:pt idx="18" formatCode="0.00">
                  <c:v>1.8165628724827125</c:v>
                </c:pt>
                <c:pt idx="20" formatCode="0.00">
                  <c:v>1.7504464594070341</c:v>
                </c:pt>
                <c:pt idx="22" formatCode="0.00">
                  <c:v>1.5063348904380969</c:v>
                </c:pt>
                <c:pt idx="24" formatCode="0.00">
                  <c:v>1.4958420918884883</c:v>
                </c:pt>
                <c:pt idx="26" formatCode="0.00">
                  <c:v>1.6417207447081639</c:v>
                </c:pt>
                <c:pt idx="28" formatCode="0.00">
                  <c:v>1.683955072556897</c:v>
                </c:pt>
                <c:pt idx="30" formatCode="0.00">
                  <c:v>1.6108258169519825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3B-5B43-830B-9AEED9E29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1405024"/>
        <c:axId val="-2013302816"/>
      </c:scatterChart>
      <c:valAx>
        <c:axId val="-210140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 (g cm-2)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3721510561557297"/>
              <c:y val="0.92401031767580799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-2013302816"/>
        <c:crossesAt val="-32.5"/>
        <c:crossBetween val="midCat"/>
      </c:valAx>
      <c:valAx>
        <c:axId val="-2013302816"/>
        <c:scaling>
          <c:orientation val="minMax"/>
          <c:min val="-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Ci (dpm g-1)</a:t>
                </a:r>
              </a:p>
            </c:rich>
          </c:tx>
          <c:overlay val="0"/>
        </c:title>
        <c:numFmt formatCode="0.000000" sourceLinked="1"/>
        <c:majorTickMark val="out"/>
        <c:minorTickMark val="none"/>
        <c:tickLblPos val="nextTo"/>
        <c:crossAx val="-2101405024"/>
        <c:crosses val="autoZero"/>
        <c:crossBetween val="midCat"/>
      </c:valAx>
    </c:plotArea>
    <c:plotVisOnly val="0"/>
    <c:dispBlanksAs val="span"/>
    <c:showDLblsOverMax val="0"/>
  </c:chart>
  <c:printSettings>
    <c:headerFooter/>
    <c:pageMargins b="0.75" l="0.75" r="0.75" t="0.75" header="0.5" footer="0.5"/>
    <c:pageSetup paperSize="9" orientation="landscape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5382961483521"/>
          <c:y val="0.16851671013251601"/>
          <c:w val="0.74000349371424945"/>
          <c:h val="0.65141950798245518"/>
        </c:manualLayout>
      </c:layout>
      <c:scatterChart>
        <c:scatterStyle val="lineMarker"/>
        <c:varyColors val="0"/>
        <c:ser>
          <c:idx val="0"/>
          <c:order val="0"/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857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180342883645346"/>
                  <c:y val="-1.41328224916038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CA!$A$5:$A$41</c:f>
              <c:numCache>
                <c:formatCode>0.000000</c:formatCode>
                <c:ptCount val="37"/>
                <c:pt idx="0">
                  <c:v>0.5</c:v>
                </c:pt>
                <c:pt idx="2">
                  <c:v>1.5</c:v>
                </c:pt>
                <c:pt idx="4">
                  <c:v>2.5</c:v>
                </c:pt>
                <c:pt idx="6">
                  <c:v>3.5</c:v>
                </c:pt>
                <c:pt idx="8">
                  <c:v>4.5</c:v>
                </c:pt>
                <c:pt idx="10">
                  <c:v>5.5</c:v>
                </c:pt>
                <c:pt idx="12" formatCode="0.00">
                  <c:v>6.5</c:v>
                </c:pt>
                <c:pt idx="14" formatCode="0.00">
                  <c:v>7.5</c:v>
                </c:pt>
                <c:pt idx="16" formatCode="0.00">
                  <c:v>8.5</c:v>
                </c:pt>
                <c:pt idx="18" formatCode="0.00">
                  <c:v>9.5</c:v>
                </c:pt>
                <c:pt idx="20" formatCode="0.00">
                  <c:v>10.5</c:v>
                </c:pt>
                <c:pt idx="22" formatCode="0.00">
                  <c:v>11.5</c:v>
                </c:pt>
                <c:pt idx="24" formatCode="0.00">
                  <c:v>12.5</c:v>
                </c:pt>
                <c:pt idx="26" formatCode="0.00">
                  <c:v>13.5</c:v>
                </c:pt>
                <c:pt idx="28" formatCode="0.00">
                  <c:v>14.5</c:v>
                </c:pt>
                <c:pt idx="30" formatCode="0.00">
                  <c:v>15.5</c:v>
                </c:pt>
                <c:pt idx="32" formatCode="0.00">
                  <c:v>16.5</c:v>
                </c:pt>
                <c:pt idx="34" formatCode="0.00">
                  <c:v>17.5</c:v>
                </c:pt>
                <c:pt idx="36" formatCode="0.00">
                  <c:v>18.5</c:v>
                </c:pt>
              </c:numCache>
            </c:numRef>
          </c:xVal>
          <c:yVal>
            <c:numRef>
              <c:f>CA!$B$5:$B$43</c:f>
              <c:numCache>
                <c:formatCode>0.000000</c:formatCode>
                <c:ptCount val="39"/>
                <c:pt idx="0">
                  <c:v>2.4151091582414264</c:v>
                </c:pt>
                <c:pt idx="2">
                  <c:v>2.3419753102451861</c:v>
                </c:pt>
                <c:pt idx="4">
                  <c:v>2.4479758163356573</c:v>
                </c:pt>
                <c:pt idx="6">
                  <c:v>2.3918075458918255</c:v>
                </c:pt>
                <c:pt idx="8">
                  <c:v>2.3714154564235437</c:v>
                </c:pt>
                <c:pt idx="10">
                  <c:v>2.2843685594316989</c:v>
                </c:pt>
                <c:pt idx="12" formatCode="0.00">
                  <c:v>2.271076123315968</c:v>
                </c:pt>
                <c:pt idx="14" formatCode="0.00">
                  <c:v>2.1390459831372111</c:v>
                </c:pt>
                <c:pt idx="16" formatCode="0.00">
                  <c:v>1.8092272585427991</c:v>
                </c:pt>
                <c:pt idx="18" formatCode="0.00">
                  <c:v>1.8165628724827125</c:v>
                </c:pt>
                <c:pt idx="20" formatCode="0.00">
                  <c:v>1.7504464594070341</c:v>
                </c:pt>
                <c:pt idx="22" formatCode="0.00">
                  <c:v>1.5063348904380969</c:v>
                </c:pt>
                <c:pt idx="24" formatCode="0.00">
                  <c:v>1.4958420918884883</c:v>
                </c:pt>
                <c:pt idx="26" formatCode="0.00">
                  <c:v>1.6417207447081639</c:v>
                </c:pt>
                <c:pt idx="28" formatCode="0.00">
                  <c:v>1.683955072556897</c:v>
                </c:pt>
                <c:pt idx="30" formatCode="0.00">
                  <c:v>1.6108258169519825</c:v>
                </c:pt>
                <c:pt idx="32" formatCode="0.00">
                  <c:v>1.4590571433397486</c:v>
                </c:pt>
                <c:pt idx="34" formatCode="0.00">
                  <c:v>1.2355267533077858</c:v>
                </c:pt>
                <c:pt idx="36" formatCode="0.00">
                  <c:v>1.1980654825072536</c:v>
                </c:pt>
                <c:pt idx="38" formatCode="0.00">
                  <c:v>1.1852036235164367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08-224C-808A-5F734B6A8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10943008"/>
        <c:axId val="-2019107328"/>
      </c:scatterChart>
      <c:valAx>
        <c:axId val="-201094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  <a:r>
                  <a:rPr lang="en-US" baseline="0"/>
                  <a:t> (cm)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3487923848676502"/>
              <c:y val="0.90151682416662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9107328"/>
        <c:crossesAt val="-1.5"/>
        <c:crossBetween val="midCat"/>
      </c:valAx>
      <c:valAx>
        <c:axId val="-201910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Ln Ci (dpm g-1)</a:t>
                </a:r>
                <a:r>
                  <a:rPr lang="en-US" sz="1000" b="0" i="0" u="none" strike="noStrike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094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  SAR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04042987396319"/>
          <c:y val="0.14431906614785991"/>
          <c:w val="0.81366137352964363"/>
          <c:h val="0.65955911639449738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CA!$E$5:$E$73</c:f>
              <c:numCache>
                <c:formatCode>0.000000</c:formatCode>
                <c:ptCount val="69"/>
                <c:pt idx="0">
                  <c:v>2017.1840846703119</c:v>
                </c:pt>
                <c:pt idx="2">
                  <c:v>2014.8386009309954</c:v>
                </c:pt>
                <c:pt idx="4">
                  <c:v>2018.2381549023289</c:v>
                </c:pt>
                <c:pt idx="6">
                  <c:v>2016.4367760797854</c:v>
                </c:pt>
                <c:pt idx="8">
                  <c:v>2015.7827791198415</c:v>
                </c:pt>
                <c:pt idx="10">
                  <c:v>2012.9910884451922</c:v>
                </c:pt>
                <c:pt idx="12" formatCode="0.00">
                  <c:v>2012.5647852542681</c:v>
                </c:pt>
                <c:pt idx="14" formatCode="0.00">
                  <c:v>2008.3304320050738</c:v>
                </c:pt>
                <c:pt idx="16" formatCode="0.00">
                  <c:v>1997.752779158227</c:v>
                </c:pt>
                <c:pt idx="18" formatCode="0.00">
                  <c:v>1997.9880404453791</c:v>
                </c:pt>
                <c:pt idx="20" formatCode="0.00">
                  <c:v>1995.8676136386437</c:v>
                </c:pt>
                <c:pt idx="22" formatCode="0.00">
                  <c:v>1988.038684472697</c:v>
                </c:pt>
                <c:pt idx="24" formatCode="0.00">
                  <c:v>1987.7021687682411</c:v>
                </c:pt>
                <c:pt idx="26" formatCode="0.00">
                  <c:v>1992.380659200189</c:v>
                </c:pt>
                <c:pt idx="28" formatCode="0.00">
                  <c:v>1993.7351610064559</c:v>
                </c:pt>
                <c:pt idx="30" formatCode="0.00">
                  <c:v>1991.3898245502303</c:v>
                </c:pt>
                <c:pt idx="32" formatCode="0.00">
                  <c:v>1986.5224346090718</c:v>
                </c:pt>
                <c:pt idx="34" formatCode="0.00">
                  <c:v>1979.3535667123626</c:v>
                </c:pt>
                <c:pt idx="36" formatCode="0.00">
                  <c:v>1978.1521421473474</c:v>
                </c:pt>
                <c:pt idx="38" formatCode="0.00">
                  <c:v>1977.7396480430866</c:v>
                </c:pt>
                <c:pt idx="40" formatCode="0.00">
                  <c:v>1967.3879480538073</c:v>
                </c:pt>
                <c:pt idx="42" formatCode="0.00">
                  <c:v>1966.1680934148453</c:v>
                </c:pt>
                <c:pt idx="44" formatCode="0.00">
                  <c:v>1969.2557434063178</c:v>
                </c:pt>
                <c:pt idx="46" formatCode="0.00">
                  <c:v>1974.0211372813831</c:v>
                </c:pt>
                <c:pt idx="48" formatCode="0.00">
                  <c:v>1964.7334625689405</c:v>
                </c:pt>
                <c:pt idx="50" formatCode="0.00">
                  <c:v>1964.1198939808949</c:v>
                </c:pt>
                <c:pt idx="52" formatCode="0.00">
                  <c:v>1963.0472683530306</c:v>
                </c:pt>
                <c:pt idx="54" formatCode="0.00">
                  <c:v>1961.5452950132351</c:v>
                </c:pt>
                <c:pt idx="56" formatCode="0.00">
                  <c:v>1947.4002519619683</c:v>
                </c:pt>
                <c:pt idx="58" formatCode="0.00">
                  <c:v>1943.6548718166412</c:v>
                </c:pt>
                <c:pt idx="60" formatCode="0.00">
                  <c:v>1940.9053757398535</c:v>
                </c:pt>
                <c:pt idx="62" formatCode="0.00">
                  <c:v>1926.4342109903555</c:v>
                </c:pt>
                <c:pt idx="64" formatCode="0.00">
                  <c:v>1921.4854963677258</c:v>
                </c:pt>
                <c:pt idx="66" formatCode="0.00">
                  <c:v>1905.6573120849221</c:v>
                </c:pt>
                <c:pt idx="68" formatCode="0.00">
                  <c:v>1895.729976563548</c:v>
                </c:pt>
              </c:numCache>
            </c:numRef>
          </c:xVal>
          <c:yVal>
            <c:numRef>
              <c:f>CA!$M$5:$M$73</c:f>
              <c:numCache>
                <c:formatCode>0.00000</c:formatCode>
                <c:ptCount val="69"/>
                <c:pt idx="0">
                  <c:v>0.17911702428353782</c:v>
                </c:pt>
                <c:pt idx="2">
                  <c:v>-1.8974067754222816</c:v>
                </c:pt>
                <c:pt idx="4">
                  <c:v>-1.2514272928809906</c:v>
                </c:pt>
                <c:pt idx="6">
                  <c:v>0.8145392710414151</c:v>
                </c:pt>
                <c:pt idx="8">
                  <c:v>0.58043566686684422</c:v>
                </c:pt>
                <c:pt idx="10" formatCode="0.00">
                  <c:v>0.62150522454262846</c:v>
                </c:pt>
                <c:pt idx="12" formatCode="0.00">
                  <c:v>0.42912409994101292</c:v>
                </c:pt>
                <c:pt idx="14" formatCode="0.00">
                  <c:v>0.1350255993031603</c:v>
                </c:pt>
                <c:pt idx="16" formatCode="0.00">
                  <c:v>0.19337887068539847</c:v>
                </c:pt>
                <c:pt idx="18" formatCode="0.00">
                  <c:v>1.0609147999067912</c:v>
                </c:pt>
                <c:pt idx="20" formatCode="0.00">
                  <c:v>0.20101803629213827</c:v>
                </c:pt>
                <c:pt idx="22" formatCode="0.00">
                  <c:v>0.24493460328774161</c:v>
                </c:pt>
                <c:pt idx="24" formatCode="0.00">
                  <c:v>-0.46061990811154424</c:v>
                </c:pt>
                <c:pt idx="26" formatCode="0.00">
                  <c:v>-0.33151045468471618</c:v>
                </c:pt>
                <c:pt idx="28" formatCode="0.00">
                  <c:v>2.0185002614548622</c:v>
                </c:pt>
                <c:pt idx="30" formatCode="0.00">
                  <c:v>0.27728765654070903</c:v>
                </c:pt>
                <c:pt idx="32" formatCode="0.00">
                  <c:v>0.16616460256507126</c:v>
                </c:pt>
                <c:pt idx="34" formatCode="0.00">
                  <c:v>0.23894027707461901</c:v>
                </c:pt>
                <c:pt idx="36" formatCode="0.00">
                  <c:v>1.2392198182435326</c:v>
                </c:pt>
                <c:pt idx="38" formatCode="0.00">
                  <c:v>0.18580118331387763</c:v>
                </c:pt>
                <c:pt idx="40" formatCode="0.00">
                  <c:v>0.1728376233145727</c:v>
                </c:pt>
                <c:pt idx="42" formatCode="0.00">
                  <c:v>-1.0707811202720103</c:v>
                </c:pt>
                <c:pt idx="44" formatCode="0.00">
                  <c:v>-0.25467831760396614</c:v>
                </c:pt>
                <c:pt idx="46" formatCode="0.00">
                  <c:v>0.44225470993967175</c:v>
                </c:pt>
                <c:pt idx="48" formatCode="0.00">
                  <c:v>0.20199483431554524</c:v>
                </c:pt>
                <c:pt idx="50" formatCode="0.00">
                  <c:v>1.1861029892815798</c:v>
                </c:pt>
                <c:pt idx="52" formatCode="0.00">
                  <c:v>0.77682001162992187</c:v>
                </c:pt>
                <c:pt idx="54" formatCode="0.00">
                  <c:v>0.1278198955004865</c:v>
                </c:pt>
                <c:pt idx="56" formatCode="0.00">
                  <c:v>0.11179165400518824</c:v>
                </c:pt>
                <c:pt idx="58" formatCode="0.00">
                  <c:v>0.30793504473420419</c:v>
                </c:pt>
                <c:pt idx="60" formatCode="0.00">
                  <c:v>0.11613956166810864</c:v>
                </c:pt>
                <c:pt idx="62" formatCode="0.00">
                  <c:v>0.10298725144866143</c:v>
                </c:pt>
                <c:pt idx="64" formatCode="0.00">
                  <c:v>9.6260756193840308E-2</c:v>
                </c:pt>
                <c:pt idx="66" formatCode="0.00">
                  <c:v>7.7653257057370001E-2</c:v>
                </c:pt>
                <c:pt idx="68" formatCode="0.00">
                  <c:v>0.10073196356131586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28-D847-A05B-71204385F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576400"/>
        <c:axId val="1485578560"/>
      </c:scatterChart>
      <c:valAx>
        <c:axId val="1485576400"/>
        <c:scaling>
          <c:orientation val="maxMin"/>
          <c:max val="2020"/>
          <c:min val="1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78560"/>
        <c:crossesAt val="-2.5"/>
        <c:crossBetween val="midCat"/>
      </c:valAx>
      <c:valAx>
        <c:axId val="148557856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SAR</a:t>
                </a:r>
                <a:r>
                  <a:rPr lang="en-US" baseline="0"/>
                  <a:t> cm/yr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5127832324630176E-2"/>
              <c:y val="0.368728821348693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high"/>
        <c:spPr>
          <a:noFill/>
          <a:ln w="952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76400"/>
        <c:crossesAt val="1860"/>
        <c:crossBetween val="midCat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115220134887923"/>
          <c:y val="2.5485310087311606E-2"/>
          <c:w val="0.77099988588382995"/>
          <c:h val="0.69183214999310705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lgDash"/>
              </a:ln>
            </c:spPr>
            <c:trendlineType val="linear"/>
            <c:dispRSqr val="1"/>
            <c:dispEq val="1"/>
            <c:trendlineLbl>
              <c:layout>
                <c:manualLayout>
                  <c:x val="-0.17133190887794192"/>
                  <c:y val="-3.6255633158561555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</c:trendlineLbl>
          </c:trendline>
          <c:xVal>
            <c:numRef>
              <c:f>CFCS!$C$5:$C$39</c:f>
              <c:numCache>
                <c:formatCode>0.000</c:formatCode>
                <c:ptCount val="35"/>
                <c:pt idx="0" formatCode="General">
                  <c:v>0.11305196145</c:v>
                </c:pt>
                <c:pt idx="1">
                  <c:v>0.36344806950000003</c:v>
                </c:pt>
                <c:pt idx="2">
                  <c:v>0.64298113364999998</c:v>
                </c:pt>
                <c:pt idx="3">
                  <c:v>0.93134726709999993</c:v>
                </c:pt>
                <c:pt idx="4">
                  <c:v>1.2253343395499998</c:v>
                </c:pt>
                <c:pt idx="5">
                  <c:v>1.5205182124499999</c:v>
                </c:pt>
                <c:pt idx="6">
                  <c:v>1.81244428245</c:v>
                </c:pt>
                <c:pt idx="7">
                  <c:v>2.0983551990000002</c:v>
                </c:pt>
                <c:pt idx="8">
                  <c:v>2.3814719588999997</c:v>
                </c:pt>
                <c:pt idx="9">
                  <c:v>2.6552368568000002</c:v>
                </c:pt>
                <c:pt idx="10">
                  <c:v>2.9218481233000002</c:v>
                </c:pt>
                <c:pt idx="11">
                  <c:v>3.1830338817500001</c:v>
                </c:pt>
                <c:pt idx="12">
                  <c:v>3.4442700522499998</c:v>
                </c:pt>
                <c:pt idx="13">
                  <c:v>3.71374820555</c:v>
                </c:pt>
                <c:pt idx="14">
                  <c:v>3.985852661</c:v>
                </c:pt>
                <c:pt idx="15">
                  <c:v>4.2568403338999996</c:v>
                </c:pt>
                <c:pt idx="16">
                  <c:v>4.5256367015500008</c:v>
                </c:pt>
                <c:pt idx="17">
                  <c:v>4.7964493217000008</c:v>
                </c:pt>
                <c:pt idx="18">
                  <c:v>5.068132222900001</c:v>
                </c:pt>
                <c:pt idx="19">
                  <c:v>5.3380710946000001</c:v>
                </c:pt>
                <c:pt idx="20">
                  <c:v>5.6348201716500004</c:v>
                </c:pt>
                <c:pt idx="21">
                  <c:v>5.9607994087999998</c:v>
                </c:pt>
                <c:pt idx="22">
                  <c:v>6.2904518314499995</c:v>
                </c:pt>
                <c:pt idx="23">
                  <c:v>6.6224317173999996</c:v>
                </c:pt>
                <c:pt idx="24">
                  <c:v>6.9388909965500005</c:v>
                </c:pt>
                <c:pt idx="25">
                  <c:v>7.2464828845499998</c:v>
                </c:pt>
                <c:pt idx="26">
                  <c:v>7.5534926540499994</c:v>
                </c:pt>
                <c:pt idx="27">
                  <c:v>7.8596958605499996</c:v>
                </c:pt>
                <c:pt idx="28">
                  <c:v>8.1673303279000002</c:v>
                </c:pt>
                <c:pt idx="29">
                  <c:v>8.4825684370000012</c:v>
                </c:pt>
                <c:pt idx="30">
                  <c:v>8.8118726478000013</c:v>
                </c:pt>
                <c:pt idx="31">
                  <c:v>9.1283870904000004</c:v>
                </c:pt>
                <c:pt idx="32" formatCode="0.00">
                  <c:v>9.4312572597499997</c:v>
                </c:pt>
                <c:pt idx="33" formatCode="General">
                  <c:v>9.7299205507999993</c:v>
                </c:pt>
                <c:pt idx="34" formatCode="General">
                  <c:v>10.02816742325</c:v>
                </c:pt>
              </c:numCache>
            </c:numRef>
          </c:xVal>
          <c:yVal>
            <c:numRef>
              <c:f>CFCS!$D$5:$D$39</c:f>
              <c:numCache>
                <c:formatCode>0.000</c:formatCode>
                <c:ptCount val="35"/>
                <c:pt idx="0" formatCode="General">
                  <c:v>2.4151091582414264</c:v>
                </c:pt>
                <c:pt idx="1">
                  <c:v>2.3419753102451861</c:v>
                </c:pt>
                <c:pt idx="2">
                  <c:v>2.4479758163356573</c:v>
                </c:pt>
                <c:pt idx="3">
                  <c:v>2.3918075458918255</c:v>
                </c:pt>
                <c:pt idx="4">
                  <c:v>2.3714154564235437</c:v>
                </c:pt>
                <c:pt idx="5">
                  <c:v>2.2843685594316989</c:v>
                </c:pt>
                <c:pt idx="6">
                  <c:v>2.271076123315968</c:v>
                </c:pt>
                <c:pt idx="7">
                  <c:v>2.1390459831372111</c:v>
                </c:pt>
                <c:pt idx="8">
                  <c:v>1.8092272585427991</c:v>
                </c:pt>
                <c:pt idx="9">
                  <c:v>1.8165628724827125</c:v>
                </c:pt>
                <c:pt idx="10">
                  <c:v>1.7504464594070341</c:v>
                </c:pt>
                <c:pt idx="11">
                  <c:v>1.5063348904380969</c:v>
                </c:pt>
                <c:pt idx="12">
                  <c:v>1.4958420918884883</c:v>
                </c:pt>
                <c:pt idx="13">
                  <c:v>1.6417207447081639</c:v>
                </c:pt>
                <c:pt idx="14">
                  <c:v>1.683955072556897</c:v>
                </c:pt>
                <c:pt idx="15">
                  <c:v>1.6108258169519825</c:v>
                </c:pt>
                <c:pt idx="16">
                  <c:v>1.4590571433397486</c:v>
                </c:pt>
                <c:pt idx="17">
                  <c:v>1.2355267533077858</c:v>
                </c:pt>
                <c:pt idx="18">
                  <c:v>1.1980654825072536</c:v>
                </c:pt>
                <c:pt idx="19">
                  <c:v>1.1852036235164367</c:v>
                </c:pt>
                <c:pt idx="20">
                  <c:v>0.86243026941965473</c:v>
                </c:pt>
                <c:pt idx="21">
                  <c:v>0.82439433583038313</c:v>
                </c:pt>
                <c:pt idx="22">
                  <c:v>0.92066945441540804</c:v>
                </c:pt>
                <c:pt idx="23">
                  <c:v>1.0692578182822172</c:v>
                </c:pt>
                <c:pt idx="24">
                  <c:v>0.77966152764400454</c:v>
                </c:pt>
                <c:pt idx="25">
                  <c:v>0.76053002351067511</c:v>
                </c:pt>
                <c:pt idx="26">
                  <c:v>0.72708479500188083</c:v>
                </c:pt>
                <c:pt idx="27">
                  <c:v>0.68025220005111386</c:v>
                </c:pt>
                <c:pt idx="28">
                  <c:v>0.23919971647555693</c:v>
                </c:pt>
                <c:pt idx="29">
                  <c:v>0.1224161047860126</c:v>
                </c:pt>
                <c:pt idx="30">
                  <c:v>3.6684865308458867E-2</c:v>
                </c:pt>
                <c:pt idx="31">
                  <c:v>-0.4145363243241581</c:v>
                </c:pt>
                <c:pt idx="32" formatCode="0.0000">
                  <c:v>-0.56884075923515875</c:v>
                </c:pt>
                <c:pt idx="33" formatCode="General">
                  <c:v>-1.0623747812328508</c:v>
                </c:pt>
                <c:pt idx="34" formatCode="General">
                  <c:v>-1.3719161499738748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05-0940-B238-361F6801A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7495872"/>
        <c:axId val="-2079355936"/>
      </c:scatterChart>
      <c:valAx>
        <c:axId val="-2067495872"/>
        <c:scaling>
          <c:orientation val="minMax"/>
          <c:max val="1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mr-IN"/>
                  <a:t>mi (g cm-2)</a:t>
                </a:r>
              </a:p>
            </c:rich>
          </c:tx>
          <c:layout>
            <c:manualLayout>
              <c:xMode val="edge"/>
              <c:yMode val="edge"/>
              <c:x val="0.47634485519818498"/>
              <c:y val="0.868668037070587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-2079355936"/>
        <c:crossesAt val="-3"/>
        <c:crossBetween val="midCat"/>
      </c:valAx>
      <c:valAx>
        <c:axId val="-2079355936"/>
        <c:scaling>
          <c:orientation val="minMax"/>
          <c:max val="3"/>
          <c:min val="-2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ln (Ci</a:t>
                </a: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20288269051114E-2"/>
              <c:y val="0.3474674238729010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-2067495872"/>
        <c:crosses val="autoZero"/>
        <c:crossBetween val="midCat"/>
      </c:valAx>
      <c:spPr>
        <a:solidFill>
          <a:schemeClr val="bg1"/>
        </a:solidFill>
        <a:ln w="25400">
          <a:solidFill>
            <a:srgbClr val="000000"/>
          </a:solidFill>
          <a:prstDash val="solid"/>
        </a:ln>
      </c:spPr>
    </c:plotArea>
    <c:plotVisOnly val="0"/>
    <c:dispBlanksAs val="span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5" footer="0.5"/>
    <c:pageSetup paperSize="9" orientation="landscape" horizontalDpi="-3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5819202531010965"/>
          <c:y val="2.8323928204532223E-2"/>
          <c:w val="0.64191797900262504"/>
          <c:h val="0.82199708536037996"/>
        </c:manualLayout>
      </c:layout>
      <c:scatterChart>
        <c:scatterStyle val="lineMarker"/>
        <c:varyColors val="0"/>
        <c:ser>
          <c:idx val="0"/>
          <c:order val="0"/>
          <c:spPr>
            <a:ln w="952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trendline>
            <c:spPr>
              <a:ln w="25400">
                <a:prstDash val="dash"/>
              </a:ln>
            </c:spPr>
            <c:trendlineType val="linear"/>
            <c:dispRSqr val="1"/>
            <c:dispEq val="1"/>
            <c:trendlineLbl>
              <c:layout>
                <c:manualLayout>
                  <c:x val="-0.10586980739157011"/>
                  <c:y val="9.3181017558645357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400" baseline="0"/>
                  </a:pPr>
                  <a:endParaRPr lang="en-US"/>
                </a:p>
              </c:txPr>
            </c:trendlineLbl>
          </c:trendline>
          <c:xVal>
            <c:numRef>
              <c:f>CFCS!$B$5:$B$39</c:f>
              <c:numCache>
                <c:formatCode>General</c:formatCode>
                <c:ptCount val="35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 formatCode="0.000">
                  <c:v>15.5</c:v>
                </c:pt>
                <c:pt idx="16" formatCode="0.000">
                  <c:v>16.5</c:v>
                </c:pt>
                <c:pt idx="17" formatCode="0.000">
                  <c:v>17.5</c:v>
                </c:pt>
                <c:pt idx="18" formatCode="0.000">
                  <c:v>18.5</c:v>
                </c:pt>
                <c:pt idx="19" formatCode="0.000">
                  <c:v>19.5</c:v>
                </c:pt>
                <c:pt idx="20" formatCode="0.000">
                  <c:v>20.5</c:v>
                </c:pt>
                <c:pt idx="21" formatCode="0.000">
                  <c:v>21.5</c:v>
                </c:pt>
                <c:pt idx="22" formatCode="0.000">
                  <c:v>22.5</c:v>
                </c:pt>
                <c:pt idx="23" formatCode="0.000">
                  <c:v>23.5</c:v>
                </c:pt>
                <c:pt idx="24" formatCode="0.000">
                  <c:v>24.5</c:v>
                </c:pt>
                <c:pt idx="25" formatCode="0.000">
                  <c:v>25.5</c:v>
                </c:pt>
                <c:pt idx="26" formatCode="0.000">
                  <c:v>26.5</c:v>
                </c:pt>
                <c:pt idx="27" formatCode="0.000">
                  <c:v>27.5</c:v>
                </c:pt>
                <c:pt idx="28" formatCode="0.000">
                  <c:v>28.5</c:v>
                </c:pt>
                <c:pt idx="29" formatCode="0.000">
                  <c:v>29.5</c:v>
                </c:pt>
                <c:pt idx="30" formatCode="0.000">
                  <c:v>30.5</c:v>
                </c:pt>
                <c:pt idx="31" formatCode="0.000">
                  <c:v>31.5</c:v>
                </c:pt>
                <c:pt idx="32" formatCode="0.00">
                  <c:v>32.5</c:v>
                </c:pt>
                <c:pt idx="33" formatCode="0.00">
                  <c:v>33.5</c:v>
                </c:pt>
                <c:pt idx="34" formatCode="0.00">
                  <c:v>34.5</c:v>
                </c:pt>
              </c:numCache>
            </c:numRef>
          </c:xVal>
          <c:yVal>
            <c:numRef>
              <c:f>CFCS!$D$5:$D$39</c:f>
              <c:numCache>
                <c:formatCode>0.000</c:formatCode>
                <c:ptCount val="35"/>
                <c:pt idx="0" formatCode="General">
                  <c:v>2.4151091582414264</c:v>
                </c:pt>
                <c:pt idx="1">
                  <c:v>2.3419753102451861</c:v>
                </c:pt>
                <c:pt idx="2">
                  <c:v>2.4479758163356573</c:v>
                </c:pt>
                <c:pt idx="3">
                  <c:v>2.3918075458918255</c:v>
                </c:pt>
                <c:pt idx="4">
                  <c:v>2.3714154564235437</c:v>
                </c:pt>
                <c:pt idx="5">
                  <c:v>2.2843685594316989</c:v>
                </c:pt>
                <c:pt idx="6">
                  <c:v>2.271076123315968</c:v>
                </c:pt>
                <c:pt idx="7">
                  <c:v>2.1390459831372111</c:v>
                </c:pt>
                <c:pt idx="8">
                  <c:v>1.8092272585427991</c:v>
                </c:pt>
                <c:pt idx="9">
                  <c:v>1.8165628724827125</c:v>
                </c:pt>
                <c:pt idx="10">
                  <c:v>1.7504464594070341</c:v>
                </c:pt>
                <c:pt idx="11">
                  <c:v>1.5063348904380969</c:v>
                </c:pt>
                <c:pt idx="12">
                  <c:v>1.4958420918884883</c:v>
                </c:pt>
                <c:pt idx="13">
                  <c:v>1.6417207447081639</c:v>
                </c:pt>
                <c:pt idx="14">
                  <c:v>1.683955072556897</c:v>
                </c:pt>
                <c:pt idx="15">
                  <c:v>1.6108258169519825</c:v>
                </c:pt>
                <c:pt idx="16">
                  <c:v>1.4590571433397486</c:v>
                </c:pt>
                <c:pt idx="17">
                  <c:v>1.2355267533077858</c:v>
                </c:pt>
                <c:pt idx="18">
                  <c:v>1.1980654825072536</c:v>
                </c:pt>
                <c:pt idx="19">
                  <c:v>1.1852036235164367</c:v>
                </c:pt>
                <c:pt idx="20">
                  <c:v>0.86243026941965473</c:v>
                </c:pt>
                <c:pt idx="21">
                  <c:v>0.82439433583038313</c:v>
                </c:pt>
                <c:pt idx="22">
                  <c:v>0.92066945441540804</c:v>
                </c:pt>
                <c:pt idx="23">
                  <c:v>1.0692578182822172</c:v>
                </c:pt>
                <c:pt idx="24">
                  <c:v>0.77966152764400454</c:v>
                </c:pt>
                <c:pt idx="25">
                  <c:v>0.76053002351067511</c:v>
                </c:pt>
                <c:pt idx="26">
                  <c:v>0.72708479500188083</c:v>
                </c:pt>
                <c:pt idx="27">
                  <c:v>0.68025220005111386</c:v>
                </c:pt>
                <c:pt idx="28">
                  <c:v>0.23919971647555693</c:v>
                </c:pt>
                <c:pt idx="29">
                  <c:v>0.1224161047860126</c:v>
                </c:pt>
                <c:pt idx="30">
                  <c:v>3.6684865308458867E-2</c:v>
                </c:pt>
                <c:pt idx="31">
                  <c:v>-0.4145363243241581</c:v>
                </c:pt>
                <c:pt idx="32" formatCode="0.0000">
                  <c:v>-0.56884075923515875</c:v>
                </c:pt>
                <c:pt idx="33" formatCode="General">
                  <c:v>-1.0623747812328508</c:v>
                </c:pt>
                <c:pt idx="34" formatCode="General">
                  <c:v>-1.3719161499738748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3F-9C42-B275-98F54BBC8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165984"/>
        <c:axId val="-2098872672"/>
      </c:scatterChart>
      <c:valAx>
        <c:axId val="-2044165984"/>
        <c:scaling>
          <c:orientation val="minMax"/>
          <c:max val="4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 i="0"/>
                </a:pPr>
                <a:r>
                  <a:rPr lang="en-US"/>
                  <a:t>z</a:t>
                </a:r>
                <a:r>
                  <a:rPr lang="en-US" baseline="0"/>
                  <a:t> (cm)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31376640419947"/>
              <c:y val="0.9259259259259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-2098872672"/>
        <c:crossesAt val="-3"/>
        <c:crossBetween val="midCat"/>
        <c:majorUnit val="10"/>
      </c:valAx>
      <c:valAx>
        <c:axId val="-2098872672"/>
        <c:scaling>
          <c:orientation val="minMax"/>
          <c:max val="3"/>
          <c:min val="-2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 i="0"/>
                </a:pPr>
                <a:r>
                  <a:rPr lang="en-US"/>
                  <a:t>ln</a:t>
                </a:r>
                <a:r>
                  <a:rPr lang="en-US" baseline="0"/>
                  <a:t> (Ci)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044165984"/>
        <c:crosses val="autoZero"/>
        <c:crossBetween val="midCat"/>
      </c:valAx>
      <c:spPr>
        <a:ln w="25400">
          <a:solidFill>
            <a:srgbClr val="000000"/>
          </a:solidFill>
        </a:ln>
      </c:spPr>
    </c:plotArea>
    <c:plotVisOnly val="0"/>
    <c:dispBlanksAs val="span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bottom 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463954505686787"/>
                  <c:y val="-0.609930737824438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CFCS!$C$32:$C$39</c:f>
              <c:numCache>
                <c:formatCode>0.000</c:formatCode>
                <c:ptCount val="8"/>
                <c:pt idx="0">
                  <c:v>7.8596958605499996</c:v>
                </c:pt>
                <c:pt idx="1">
                  <c:v>8.1673303279000002</c:v>
                </c:pt>
                <c:pt idx="2">
                  <c:v>8.4825684370000012</c:v>
                </c:pt>
                <c:pt idx="3">
                  <c:v>8.8118726478000013</c:v>
                </c:pt>
                <c:pt idx="4">
                  <c:v>9.1283870904000004</c:v>
                </c:pt>
                <c:pt idx="5" formatCode="0.00">
                  <c:v>9.4312572597499997</c:v>
                </c:pt>
                <c:pt idx="6" formatCode="General">
                  <c:v>9.7299205507999993</c:v>
                </c:pt>
                <c:pt idx="7" formatCode="General">
                  <c:v>10.02816742325</c:v>
                </c:pt>
              </c:numCache>
            </c:numRef>
          </c:xVal>
          <c:yVal>
            <c:numRef>
              <c:f>CFCS!$D$32:$D$39</c:f>
              <c:numCache>
                <c:formatCode>0.000</c:formatCode>
                <c:ptCount val="8"/>
                <c:pt idx="0">
                  <c:v>0.68025220005111386</c:v>
                </c:pt>
                <c:pt idx="1">
                  <c:v>0.23919971647555693</c:v>
                </c:pt>
                <c:pt idx="2">
                  <c:v>0.1224161047860126</c:v>
                </c:pt>
                <c:pt idx="3">
                  <c:v>3.6684865308458867E-2</c:v>
                </c:pt>
                <c:pt idx="4">
                  <c:v>-0.4145363243241581</c:v>
                </c:pt>
                <c:pt idx="5" formatCode="0.0000">
                  <c:v>-0.56884075923515875</c:v>
                </c:pt>
                <c:pt idx="6" formatCode="General">
                  <c:v>-1.0623747812328508</c:v>
                </c:pt>
                <c:pt idx="7" formatCode="General">
                  <c:v>-1.3719161499738748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2D-4AC7-BA0E-55A57F4B0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1355295"/>
        <c:axId val="1251355775"/>
      </c:scatterChart>
      <c:valAx>
        <c:axId val="125135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55775"/>
        <c:crosses val="autoZero"/>
        <c:crossBetween val="midCat"/>
      </c:valAx>
      <c:valAx>
        <c:axId val="1251355775"/>
        <c:scaling>
          <c:orientation val="minMax"/>
          <c:max val="3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55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879658792650918"/>
                  <c:y val="-0.220193569553805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CFCS!$C$5:$C$31</c:f>
              <c:numCache>
                <c:formatCode>0.000</c:formatCode>
                <c:ptCount val="27"/>
                <c:pt idx="0" formatCode="General">
                  <c:v>0.11305196145</c:v>
                </c:pt>
                <c:pt idx="1">
                  <c:v>0.36344806950000003</c:v>
                </c:pt>
                <c:pt idx="2">
                  <c:v>0.64298113364999998</c:v>
                </c:pt>
                <c:pt idx="3">
                  <c:v>0.93134726709999993</c:v>
                </c:pt>
                <c:pt idx="4">
                  <c:v>1.2253343395499998</c:v>
                </c:pt>
                <c:pt idx="5">
                  <c:v>1.5205182124499999</c:v>
                </c:pt>
                <c:pt idx="6">
                  <c:v>1.81244428245</c:v>
                </c:pt>
                <c:pt idx="7">
                  <c:v>2.0983551990000002</c:v>
                </c:pt>
                <c:pt idx="8">
                  <c:v>2.3814719588999997</c:v>
                </c:pt>
                <c:pt idx="9">
                  <c:v>2.6552368568000002</c:v>
                </c:pt>
                <c:pt idx="10">
                  <c:v>2.9218481233000002</c:v>
                </c:pt>
                <c:pt idx="11">
                  <c:v>3.1830338817500001</c:v>
                </c:pt>
                <c:pt idx="12">
                  <c:v>3.4442700522499998</c:v>
                </c:pt>
                <c:pt idx="13">
                  <c:v>3.71374820555</c:v>
                </c:pt>
                <c:pt idx="14">
                  <c:v>3.985852661</c:v>
                </c:pt>
                <c:pt idx="15">
                  <c:v>4.2568403338999996</c:v>
                </c:pt>
                <c:pt idx="16">
                  <c:v>4.5256367015500008</c:v>
                </c:pt>
                <c:pt idx="17">
                  <c:v>4.7964493217000008</c:v>
                </c:pt>
                <c:pt idx="18">
                  <c:v>5.068132222900001</c:v>
                </c:pt>
                <c:pt idx="19">
                  <c:v>5.3380710946000001</c:v>
                </c:pt>
                <c:pt idx="20">
                  <c:v>5.6348201716500004</c:v>
                </c:pt>
                <c:pt idx="21">
                  <c:v>5.9607994087999998</c:v>
                </c:pt>
                <c:pt idx="22">
                  <c:v>6.2904518314499995</c:v>
                </c:pt>
                <c:pt idx="23">
                  <c:v>6.6224317173999996</c:v>
                </c:pt>
                <c:pt idx="24">
                  <c:v>6.9388909965500005</c:v>
                </c:pt>
                <c:pt idx="25">
                  <c:v>7.2464828845499998</c:v>
                </c:pt>
                <c:pt idx="26">
                  <c:v>7.5534926540499994</c:v>
                </c:pt>
              </c:numCache>
            </c:numRef>
          </c:xVal>
          <c:yVal>
            <c:numRef>
              <c:f>CFCS!$D$5:$D$31</c:f>
              <c:numCache>
                <c:formatCode>0.000</c:formatCode>
                <c:ptCount val="27"/>
                <c:pt idx="0" formatCode="General">
                  <c:v>2.4151091582414264</c:v>
                </c:pt>
                <c:pt idx="1">
                  <c:v>2.3419753102451861</c:v>
                </c:pt>
                <c:pt idx="2">
                  <c:v>2.4479758163356573</c:v>
                </c:pt>
                <c:pt idx="3">
                  <c:v>2.3918075458918255</c:v>
                </c:pt>
                <c:pt idx="4">
                  <c:v>2.3714154564235437</c:v>
                </c:pt>
                <c:pt idx="5">
                  <c:v>2.2843685594316989</c:v>
                </c:pt>
                <c:pt idx="6">
                  <c:v>2.271076123315968</c:v>
                </c:pt>
                <c:pt idx="7">
                  <c:v>2.1390459831372111</c:v>
                </c:pt>
                <c:pt idx="8">
                  <c:v>1.8092272585427991</c:v>
                </c:pt>
                <c:pt idx="9">
                  <c:v>1.8165628724827125</c:v>
                </c:pt>
                <c:pt idx="10">
                  <c:v>1.7504464594070341</c:v>
                </c:pt>
                <c:pt idx="11">
                  <c:v>1.5063348904380969</c:v>
                </c:pt>
                <c:pt idx="12">
                  <c:v>1.4958420918884883</c:v>
                </c:pt>
                <c:pt idx="13">
                  <c:v>1.6417207447081639</c:v>
                </c:pt>
                <c:pt idx="14">
                  <c:v>1.683955072556897</c:v>
                </c:pt>
                <c:pt idx="15">
                  <c:v>1.6108258169519825</c:v>
                </c:pt>
                <c:pt idx="16">
                  <c:v>1.4590571433397486</c:v>
                </c:pt>
                <c:pt idx="17">
                  <c:v>1.2355267533077858</c:v>
                </c:pt>
                <c:pt idx="18">
                  <c:v>1.1980654825072536</c:v>
                </c:pt>
                <c:pt idx="19">
                  <c:v>1.1852036235164367</c:v>
                </c:pt>
                <c:pt idx="20">
                  <c:v>0.86243026941965473</c:v>
                </c:pt>
                <c:pt idx="21">
                  <c:v>0.82439433583038313</c:v>
                </c:pt>
                <c:pt idx="22">
                  <c:v>0.92066945441540804</c:v>
                </c:pt>
                <c:pt idx="23">
                  <c:v>1.0692578182822172</c:v>
                </c:pt>
                <c:pt idx="24">
                  <c:v>0.77966152764400454</c:v>
                </c:pt>
                <c:pt idx="25">
                  <c:v>0.76053002351067511</c:v>
                </c:pt>
                <c:pt idx="26">
                  <c:v>0.72708479500188083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5B-49C5-988E-8C19EBA48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553616"/>
        <c:axId val="1119554096"/>
      </c:scatterChart>
      <c:valAx>
        <c:axId val="1119553616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554096"/>
        <c:crosses val="autoZero"/>
        <c:crossBetween val="midCat"/>
      </c:valAx>
      <c:valAx>
        <c:axId val="1119554096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55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55264642103523054"/>
                  <c:y val="-0.3829837075745643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400" baseline="0"/>
                  </a:pPr>
                  <a:endParaRPr lang="en-US"/>
                </a:p>
              </c:txPr>
            </c:trendlineLbl>
          </c:trendline>
          <c:xVal>
            <c:numRef>
              <c:f>'DBD(0)'!$B$18:$B$20</c:f>
              <c:numCache>
                <c:formatCode>0.00</c:formatCode>
                <c:ptCount val="3"/>
                <c:pt idx="0">
                  <c:v>0.11305196145</c:v>
                </c:pt>
                <c:pt idx="1">
                  <c:v>0.36344806950000003</c:v>
                </c:pt>
                <c:pt idx="2">
                  <c:v>0.64298113364999998</c:v>
                </c:pt>
              </c:numCache>
            </c:numRef>
          </c:xVal>
          <c:yVal>
            <c:numRef>
              <c:f>'DBD(0)'!$C$18:$C$20</c:f>
              <c:numCache>
                <c:formatCode>0.00</c:formatCode>
                <c:ptCount val="3"/>
                <c:pt idx="0">
                  <c:v>0.2261039229</c:v>
                </c:pt>
                <c:pt idx="1">
                  <c:v>0.27468829319999999</c:v>
                </c:pt>
                <c:pt idx="2">
                  <c:v>0.28437783509999998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74-4D2B-9E7A-47299451F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7462768"/>
        <c:axId val="-2018788736"/>
      </c:scatterChart>
      <c:valAx>
        <c:axId val="-209746276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18788736"/>
        <c:crossesAt val="-1"/>
        <c:crossBetween val="midCat"/>
      </c:valAx>
      <c:valAx>
        <c:axId val="-2018788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DBD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-2097462768"/>
        <c:crossesAt val="-0.60000000000000009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88404866587679"/>
          <c:y val="0.17362048519354137"/>
          <c:w val="0.79022216784217403"/>
          <c:h val="0.79661016949152497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xVal>
            <c:numRef>
              <c:f>CF!$J$6:$J$74</c:f>
              <c:numCache>
                <c:formatCode>0.00</c:formatCode>
                <c:ptCount val="69"/>
                <c:pt idx="0">
                  <c:v>0.11238917447365696</c:v>
                </c:pt>
                <c:pt idx="2">
                  <c:v>0.12636293273444277</c:v>
                </c:pt>
                <c:pt idx="4">
                  <c:v>0.11610050031352451</c:v>
                </c:pt>
                <c:pt idx="6">
                  <c:v>0.10424178776252202</c:v>
                </c:pt>
                <c:pt idx="8">
                  <c:v>9.9137865653838017E-2</c:v>
                </c:pt>
                <c:pt idx="10">
                  <c:v>9.4897011000103393E-2</c:v>
                </c:pt>
                <c:pt idx="12">
                  <c:v>9.0620193574578387E-2</c:v>
                </c:pt>
                <c:pt idx="14">
                  <c:v>8.7631386877700126E-2</c:v>
                </c:pt>
                <c:pt idx="16">
                  <c:v>9.8891960290145742E-2</c:v>
                </c:pt>
                <c:pt idx="18">
                  <c:v>0.10896992211647455</c:v>
                </c:pt>
                <c:pt idx="20">
                  <c:v>0.10365539793914934</c:v>
                </c:pt>
                <c:pt idx="22">
                  <c:v>0.11080380340286598</c:v>
                </c:pt>
                <c:pt idx="24">
                  <c:v>0.11884815796281578</c:v>
                </c:pt>
                <c:pt idx="26">
                  <c:v>0.10299011276851647</c:v>
                </c:pt>
                <c:pt idx="28">
                  <c:v>8.574309217077361E-2</c:v>
                </c:pt>
                <c:pt idx="30">
                  <c:v>7.8165185388270081E-2</c:v>
                </c:pt>
                <c:pt idx="32">
                  <c:v>7.8305437868672334E-2</c:v>
                </c:pt>
                <c:pt idx="34">
                  <c:v>8.4789942662707271E-2</c:v>
                </c:pt>
                <c:pt idx="36">
                  <c:v>8.8573664451366718E-2</c:v>
                </c:pt>
                <c:pt idx="38">
                  <c:v>8.231146583212394E-2</c:v>
                </c:pt>
                <c:pt idx="40">
                  <c:v>8.6407364388369531E-2</c:v>
                </c:pt>
                <c:pt idx="42">
                  <c:v>9.4478373884883685E-2</c:v>
                </c:pt>
                <c:pt idx="44">
                  <c:v>8.1988843389475208E-2</c:v>
                </c:pt>
                <c:pt idx="46">
                  <c:v>6.2815144843809692E-2</c:v>
                </c:pt>
                <c:pt idx="48">
                  <c:v>5.5079902332178507E-2</c:v>
                </c:pt>
                <c:pt idx="50">
                  <c:v>5.5443807629744171E-2</c:v>
                </c:pt>
                <c:pt idx="52">
                  <c:v>4.6981830654250926E-2</c:v>
                </c:pt>
                <c:pt idx="54">
                  <c:v>3.9304467168636351E-2</c:v>
                </c:pt>
                <c:pt idx="56">
                  <c:v>3.7151849630752874E-2</c:v>
                </c:pt>
                <c:pt idx="58">
                  <c:v>4.0200029733103541E-2</c:v>
                </c:pt>
                <c:pt idx="60">
                  <c:v>3.3888064195329019E-2</c:v>
                </c:pt>
                <c:pt idx="62">
                  <c:v>3.0623321362616682E-2</c:v>
                </c:pt>
                <c:pt idx="64">
                  <c:v>3.2264826076202589E-2</c:v>
                </c:pt>
                <c:pt idx="66">
                  <c:v>3.1624949244065892E-2</c:v>
                </c:pt>
                <c:pt idx="68">
                  <c:v>3.7583425947905064E-2</c:v>
                </c:pt>
              </c:numCache>
            </c:numRef>
          </c:xVal>
          <c:yVal>
            <c:numRef>
              <c:f>CF!$I$6:$I$74</c:f>
              <c:numCache>
                <c:formatCode>0.00</c:formatCode>
                <c:ptCount val="69"/>
                <c:pt idx="0">
                  <c:v>2021.5942850363231</c:v>
                </c:pt>
                <c:pt idx="2">
                  <c:v>2019.7912113861371</c:v>
                </c:pt>
                <c:pt idx="4">
                  <c:v>2017.6253459235757</c:v>
                </c:pt>
                <c:pt idx="6">
                  <c:v>2014.9366147730113</c:v>
                </c:pt>
                <c:pt idx="8">
                  <c:v>2012.0879263241857</c:v>
                </c:pt>
                <c:pt idx="10">
                  <c:v>2008.9916568386025</c:v>
                </c:pt>
                <c:pt idx="12">
                  <c:v>2005.8740382577573</c:v>
                </c:pt>
                <c:pt idx="14">
                  <c:v>2002.5372378933721</c:v>
                </c:pt>
                <c:pt idx="16">
                  <c:v>1999.372564188028</c:v>
                </c:pt>
                <c:pt idx="18">
                  <c:v>1996.8797654650182</c:v>
                </c:pt>
                <c:pt idx="20">
                  <c:v>1994.3509331366781</c:v>
                </c:pt>
                <c:pt idx="22">
                  <c:v>1991.7358309004962</c:v>
                </c:pt>
                <c:pt idx="24">
                  <c:v>1989.6629719809457</c:v>
                </c:pt>
                <c:pt idx="26">
                  <c:v>1987.3257313646263</c:v>
                </c:pt>
                <c:pt idx="28">
                  <c:v>1984.3862299005402</c:v>
                </c:pt>
                <c:pt idx="30">
                  <c:v>1980.9375190089268</c:v>
                </c:pt>
                <c:pt idx="32">
                  <c:v>1977.4594665863599</c:v>
                </c:pt>
                <c:pt idx="34">
                  <c:v>1974.1005522255632</c:v>
                </c:pt>
                <c:pt idx="36">
                  <c:v>1971.1212886097057</c:v>
                </c:pt>
                <c:pt idx="38">
                  <c:v>1967.9577797587203</c:v>
                </c:pt>
                <c:pt idx="40">
                  <c:v>1964.5483287027139</c:v>
                </c:pt>
                <c:pt idx="42">
                  <c:v>1961.2163824703662</c:v>
                </c:pt>
                <c:pt idx="44">
                  <c:v>1957.6343327928455</c:v>
                </c:pt>
                <c:pt idx="46">
                  <c:v>1953.0688137812961</c:v>
                </c:pt>
                <c:pt idx="48">
                  <c:v>1946.839779120937</c:v>
                </c:pt>
                <c:pt idx="50">
                  <c:v>1941.7667760699871</c:v>
                </c:pt>
                <c:pt idx="52">
                  <c:v>1935.6154283501855</c:v>
                </c:pt>
                <c:pt idx="54">
                  <c:v>1928.6102204231333</c:v>
                </c:pt>
                <c:pt idx="56">
                  <c:v>1919.7451254032192</c:v>
                </c:pt>
                <c:pt idx="58">
                  <c:v>1912.6099004402731</c:v>
                </c:pt>
                <c:pt idx="60">
                  <c:v>1903.8593722357232</c:v>
                </c:pt>
                <c:pt idx="62">
                  <c:v>1892.780130607473</c:v>
                </c:pt>
                <c:pt idx="64">
                  <c:v>1884.0307859964298</c:v>
                </c:pt>
                <c:pt idx="66">
                  <c:v>1873.8712696366256</c:v>
                </c:pt>
                <c:pt idx="68">
                  <c:v>1865.9453976977632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37-8749-9F8A-F5DDA0B1F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17153824"/>
        <c:axId val="-2115011632"/>
      </c:scatterChart>
      <c:valAx>
        <c:axId val="-2017153824"/>
        <c:scaling>
          <c:orientation val="minMax"/>
          <c:max val="0.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2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2000"/>
                  <a:t>MAR (g cm-2 yr-1)</a:t>
                </a:r>
              </a:p>
            </c:rich>
          </c:tx>
          <c:layout>
            <c:manualLayout>
              <c:xMode val="edge"/>
              <c:yMode val="edge"/>
              <c:x val="0.30937875775480939"/>
              <c:y val="4.9224323036850377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out"/>
        <c:tickLblPos val="high"/>
        <c:spPr>
          <a:ln/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2115011632"/>
        <c:crossesAt val="2022"/>
        <c:crossBetween val="midCat"/>
        <c:majorUnit val="0.2"/>
        <c:minorUnit val="0.1"/>
      </c:valAx>
      <c:valAx>
        <c:axId val="-2115011632"/>
        <c:scaling>
          <c:orientation val="minMax"/>
          <c:max val="2022"/>
          <c:min val="181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-2017153824"/>
        <c:crosses val="autoZero"/>
        <c:crossBetween val="midCat"/>
        <c:majorUnit val="5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span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5" footer="0.5"/>
    <c:pageSetup paperSize="9"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504017354973"/>
          <c:y val="0.19226708661417299"/>
          <c:w val="0.78952845528455295"/>
          <c:h val="0.79710332951985596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70C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x"/>
            <c:errBarType val="both"/>
            <c:errValType val="percentage"/>
            <c:noEndCap val="0"/>
            <c:val val="5"/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errBars>
            <c:errDir val="y"/>
            <c:errBarType val="both"/>
            <c:errValType val="fixedVal"/>
            <c:noEndCap val="0"/>
            <c:val val="0.1"/>
          </c:errBars>
          <c:xVal>
            <c:numRef>
              <c:f>CF!$P$6:$P$74</c:f>
              <c:numCache>
                <c:formatCode>0.00</c:formatCode>
                <c:ptCount val="69"/>
                <c:pt idx="0">
                  <c:v>0.50801646516330168</c:v>
                </c:pt>
                <c:pt idx="2">
                  <c:v>0.50465214383128576</c:v>
                </c:pt>
                <c:pt idx="4">
                  <c:v>0.41533727205603094</c:v>
                </c:pt>
                <c:pt idx="6">
                  <c:v>0.36149108952350884</c:v>
                </c:pt>
                <c:pt idx="8">
                  <c:v>0.33721845259266947</c:v>
                </c:pt>
                <c:pt idx="10">
                  <c:v>0.32148440247700055</c:v>
                </c:pt>
                <c:pt idx="12">
                  <c:v>0.31042172278268387</c:v>
                </c:pt>
                <c:pt idx="14">
                  <c:v>0.30649891908683097</c:v>
                </c:pt>
                <c:pt idx="16">
                  <c:v>0.34929744295277859</c:v>
                </c:pt>
                <c:pt idx="18">
                  <c:v>0.39804198037207361</c:v>
                </c:pt>
                <c:pt idx="20">
                  <c:v>0.38878851332844683</c:v>
                </c:pt>
                <c:pt idx="22">
                  <c:v>0.4242337103693104</c:v>
                </c:pt>
                <c:pt idx="24">
                  <c:v>0.45494526173516914</c:v>
                </c:pt>
                <c:pt idx="26">
                  <c:v>0.38218353327463023</c:v>
                </c:pt>
                <c:pt idx="28">
                  <c:v>0.31511094527641481</c:v>
                </c:pt>
                <c:pt idx="30">
                  <c:v>0.28844553906005393</c:v>
                </c:pt>
                <c:pt idx="32">
                  <c:v>0.29131880967466756</c:v>
                </c:pt>
                <c:pt idx="34">
                  <c:v>0.31309450281801154</c:v>
                </c:pt>
                <c:pt idx="36">
                  <c:v>0.32601854610704045</c:v>
                </c:pt>
                <c:pt idx="38">
                  <c:v>0.30492631651658469</c:v>
                </c:pt>
                <c:pt idx="40">
                  <c:v>0.29117989261281019</c:v>
                </c:pt>
                <c:pt idx="42">
                  <c:v>0.28982942199293898</c:v>
                </c:pt>
                <c:pt idx="44">
                  <c:v>0.24871300119800654</c:v>
                </c:pt>
                <c:pt idx="46">
                  <c:v>0.18921370692099815</c:v>
                </c:pt>
                <c:pt idx="48">
                  <c:v>0.17405052074984639</c:v>
                </c:pt>
                <c:pt idx="50">
                  <c:v>0.18025120230005598</c:v>
                </c:pt>
                <c:pt idx="52">
                  <c:v>0.15303040919761651</c:v>
                </c:pt>
                <c:pt idx="54">
                  <c:v>0.1283607301762085</c:v>
                </c:pt>
                <c:pt idx="56">
                  <c:v>0.1207662130670316</c:v>
                </c:pt>
                <c:pt idx="58">
                  <c:v>0.12752274732225116</c:v>
                </c:pt>
                <c:pt idx="60">
                  <c:v>0.10290808038258167</c:v>
                </c:pt>
                <c:pt idx="62">
                  <c:v>9.6751734647753107E-2</c:v>
                </c:pt>
                <c:pt idx="64">
                  <c:v>0.10653022100343271</c:v>
                </c:pt>
                <c:pt idx="66">
                  <c:v>0.10588830362406834</c:v>
                </c:pt>
                <c:pt idx="68">
                  <c:v>0.12601448470915913</c:v>
                </c:pt>
              </c:numCache>
            </c:numRef>
          </c:xVal>
          <c:yVal>
            <c:numRef>
              <c:f>CF!$I$6:$I$74</c:f>
              <c:numCache>
                <c:formatCode>0.00</c:formatCode>
                <c:ptCount val="69"/>
                <c:pt idx="0">
                  <c:v>2021.5942850363231</c:v>
                </c:pt>
                <c:pt idx="2">
                  <c:v>2019.7912113861371</c:v>
                </c:pt>
                <c:pt idx="4">
                  <c:v>2017.6253459235757</c:v>
                </c:pt>
                <c:pt idx="6">
                  <c:v>2014.9366147730113</c:v>
                </c:pt>
                <c:pt idx="8">
                  <c:v>2012.0879263241857</c:v>
                </c:pt>
                <c:pt idx="10">
                  <c:v>2008.9916568386025</c:v>
                </c:pt>
                <c:pt idx="12">
                  <c:v>2005.8740382577573</c:v>
                </c:pt>
                <c:pt idx="14">
                  <c:v>2002.5372378933721</c:v>
                </c:pt>
                <c:pt idx="16">
                  <c:v>1999.372564188028</c:v>
                </c:pt>
                <c:pt idx="18">
                  <c:v>1996.8797654650182</c:v>
                </c:pt>
                <c:pt idx="20">
                  <c:v>1994.3509331366781</c:v>
                </c:pt>
                <c:pt idx="22">
                  <c:v>1991.7358309004962</c:v>
                </c:pt>
                <c:pt idx="24">
                  <c:v>1989.6629719809457</c:v>
                </c:pt>
                <c:pt idx="26">
                  <c:v>1987.3257313646263</c:v>
                </c:pt>
                <c:pt idx="28">
                  <c:v>1984.3862299005402</c:v>
                </c:pt>
                <c:pt idx="30">
                  <c:v>1980.9375190089268</c:v>
                </c:pt>
                <c:pt idx="32">
                  <c:v>1977.4594665863599</c:v>
                </c:pt>
                <c:pt idx="34">
                  <c:v>1974.1005522255632</c:v>
                </c:pt>
                <c:pt idx="36">
                  <c:v>1971.1212886097057</c:v>
                </c:pt>
                <c:pt idx="38">
                  <c:v>1967.9577797587203</c:v>
                </c:pt>
                <c:pt idx="40">
                  <c:v>1964.5483287027139</c:v>
                </c:pt>
                <c:pt idx="42">
                  <c:v>1961.2163824703662</c:v>
                </c:pt>
                <c:pt idx="44">
                  <c:v>1957.6343327928455</c:v>
                </c:pt>
                <c:pt idx="46">
                  <c:v>1953.0688137812961</c:v>
                </c:pt>
                <c:pt idx="48">
                  <c:v>1946.839779120937</c:v>
                </c:pt>
                <c:pt idx="50">
                  <c:v>1941.7667760699871</c:v>
                </c:pt>
                <c:pt idx="52">
                  <c:v>1935.6154283501855</c:v>
                </c:pt>
                <c:pt idx="54">
                  <c:v>1928.6102204231333</c:v>
                </c:pt>
                <c:pt idx="56">
                  <c:v>1919.7451254032192</c:v>
                </c:pt>
                <c:pt idx="58">
                  <c:v>1912.6099004402731</c:v>
                </c:pt>
                <c:pt idx="60">
                  <c:v>1903.8593722357232</c:v>
                </c:pt>
                <c:pt idx="62">
                  <c:v>1892.780130607473</c:v>
                </c:pt>
                <c:pt idx="64">
                  <c:v>1884.0307859964298</c:v>
                </c:pt>
                <c:pt idx="66">
                  <c:v>1873.8712696366256</c:v>
                </c:pt>
                <c:pt idx="68">
                  <c:v>1865.9453976977632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5C-8841-96C5-C47C2E5E7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9636928"/>
        <c:axId val="-2079932048"/>
      </c:scatterChart>
      <c:valAx>
        <c:axId val="-2069636928"/>
        <c:scaling>
          <c:orientation val="minMax"/>
          <c:max val="0.60000000000000009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2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2000"/>
                  <a:t>SAR (cm yr-1)</a:t>
                </a:r>
              </a:p>
            </c:rich>
          </c:tx>
          <c:layout>
            <c:manualLayout>
              <c:xMode val="edge"/>
              <c:yMode val="edge"/>
              <c:x val="0.45695002410412999"/>
              <c:y val="8.56774803149606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-2079932048"/>
        <c:crossesAt val="2022"/>
        <c:crossBetween val="midCat"/>
        <c:minorUnit val="0.1"/>
      </c:valAx>
      <c:valAx>
        <c:axId val="-2079932048"/>
        <c:scaling>
          <c:orientation val="minMax"/>
          <c:max val="2022"/>
          <c:min val="181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-2069636928"/>
        <c:crosses val="autoZero"/>
        <c:crossBetween val="midCat"/>
        <c:majorUnit val="5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span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76140647188426"/>
          <c:y val="0.15787162009119804"/>
          <c:w val="0.79022216784217403"/>
          <c:h val="0.79661016949152497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03-AB4A-1547-8735-35C07ABD861E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02-AB4A-1547-8735-35C07ABD861E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01-AB4A-1547-8735-35C07ABD861E}"/>
              </c:ext>
            </c:extLst>
          </c:dPt>
          <c:errBars>
            <c:errDir val="x"/>
            <c:errBarType val="both"/>
            <c:errValType val="percentage"/>
            <c:noEndCap val="0"/>
            <c:val val="5"/>
          </c:errBars>
          <c:errBars>
            <c:errDir val="y"/>
            <c:errBarType val="both"/>
            <c:errValType val="fixedVal"/>
            <c:noEndCap val="0"/>
            <c:val val="0.1"/>
          </c:errBars>
          <c:xVal>
            <c:numRef>
              <c:f>CF!$V$6:$V$68</c:f>
              <c:numCache>
                <c:formatCode>General</c:formatCode>
                <c:ptCount val="63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</c:v>
                </c:pt>
                <c:pt idx="26">
                  <c:v>0</c:v>
                </c:pt>
                <c:pt idx="28">
                  <c:v>0</c:v>
                </c:pt>
                <c:pt idx="30">
                  <c:v>0</c:v>
                </c:pt>
                <c:pt idx="32">
                  <c:v>0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  <c:pt idx="40">
                  <c:v>0</c:v>
                </c:pt>
                <c:pt idx="42">
                  <c:v>0</c:v>
                </c:pt>
                <c:pt idx="44">
                  <c:v>0</c:v>
                </c:pt>
                <c:pt idx="46">
                  <c:v>0</c:v>
                </c:pt>
                <c:pt idx="48">
                  <c:v>0</c:v>
                </c:pt>
                <c:pt idx="50">
                  <c:v>0</c:v>
                </c:pt>
                <c:pt idx="52">
                  <c:v>0</c:v>
                </c:pt>
                <c:pt idx="54">
                  <c:v>0</c:v>
                </c:pt>
                <c:pt idx="56">
                  <c:v>0</c:v>
                </c:pt>
                <c:pt idx="58">
                  <c:v>0</c:v>
                </c:pt>
                <c:pt idx="60">
                  <c:v>0</c:v>
                </c:pt>
                <c:pt idx="62">
                  <c:v>0</c:v>
                </c:pt>
              </c:numCache>
            </c:numRef>
          </c:xVal>
          <c:yVal>
            <c:numRef>
              <c:f>CF!$I$6:$I$80</c:f>
              <c:numCache>
                <c:formatCode>0.00</c:formatCode>
                <c:ptCount val="75"/>
                <c:pt idx="0">
                  <c:v>2021.5942850363231</c:v>
                </c:pt>
                <c:pt idx="2">
                  <c:v>2019.7912113861371</c:v>
                </c:pt>
                <c:pt idx="4">
                  <c:v>2017.6253459235757</c:v>
                </c:pt>
                <c:pt idx="6">
                  <c:v>2014.9366147730113</c:v>
                </c:pt>
                <c:pt idx="8">
                  <c:v>2012.0879263241857</c:v>
                </c:pt>
                <c:pt idx="10">
                  <c:v>2008.9916568386025</c:v>
                </c:pt>
                <c:pt idx="12">
                  <c:v>2005.8740382577573</c:v>
                </c:pt>
                <c:pt idx="14">
                  <c:v>2002.5372378933721</c:v>
                </c:pt>
                <c:pt idx="16">
                  <c:v>1999.372564188028</c:v>
                </c:pt>
                <c:pt idx="18">
                  <c:v>1996.8797654650182</c:v>
                </c:pt>
                <c:pt idx="20">
                  <c:v>1994.3509331366781</c:v>
                </c:pt>
                <c:pt idx="22">
                  <c:v>1991.7358309004962</c:v>
                </c:pt>
                <c:pt idx="24">
                  <c:v>1989.6629719809457</c:v>
                </c:pt>
                <c:pt idx="26">
                  <c:v>1987.3257313646263</c:v>
                </c:pt>
                <c:pt idx="28">
                  <c:v>1984.3862299005402</c:v>
                </c:pt>
                <c:pt idx="30">
                  <c:v>1980.9375190089268</c:v>
                </c:pt>
                <c:pt idx="32">
                  <c:v>1977.4594665863599</c:v>
                </c:pt>
                <c:pt idx="34">
                  <c:v>1974.1005522255632</c:v>
                </c:pt>
                <c:pt idx="36">
                  <c:v>1971.1212886097057</c:v>
                </c:pt>
                <c:pt idx="38">
                  <c:v>1967.9577797587203</c:v>
                </c:pt>
                <c:pt idx="40">
                  <c:v>1964.5483287027139</c:v>
                </c:pt>
                <c:pt idx="42">
                  <c:v>1961.2163824703662</c:v>
                </c:pt>
                <c:pt idx="44">
                  <c:v>1957.6343327928455</c:v>
                </c:pt>
                <c:pt idx="46">
                  <c:v>1953.0688137812961</c:v>
                </c:pt>
                <c:pt idx="48">
                  <c:v>1946.839779120937</c:v>
                </c:pt>
                <c:pt idx="50">
                  <c:v>1941.7667760699871</c:v>
                </c:pt>
                <c:pt idx="52">
                  <c:v>1935.6154283501855</c:v>
                </c:pt>
                <c:pt idx="54">
                  <c:v>1928.6102204231333</c:v>
                </c:pt>
                <c:pt idx="56">
                  <c:v>1919.7451254032192</c:v>
                </c:pt>
                <c:pt idx="58">
                  <c:v>1912.6099004402731</c:v>
                </c:pt>
                <c:pt idx="60">
                  <c:v>1903.8593722357232</c:v>
                </c:pt>
                <c:pt idx="62">
                  <c:v>1892.780130607473</c:v>
                </c:pt>
                <c:pt idx="64">
                  <c:v>1884.0307859964298</c:v>
                </c:pt>
                <c:pt idx="66">
                  <c:v>1873.8712696366256</c:v>
                </c:pt>
                <c:pt idx="68">
                  <c:v>1865.9453976977632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23-1C4B-B857-765509E30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8565872"/>
        <c:axId val="-2078304640"/>
      </c:scatterChart>
      <c:valAx>
        <c:axId val="-2098565872"/>
        <c:scaling>
          <c:orientation val="minMax"/>
          <c:max val="4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2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2000"/>
                  <a:t>CAR (gC m-2 yr-1)</a:t>
                </a:r>
              </a:p>
            </c:rich>
          </c:tx>
          <c:layout>
            <c:manualLayout>
              <c:xMode val="edge"/>
              <c:yMode val="edge"/>
              <c:x val="0.309378877783544"/>
              <c:y val="4.9224289103600001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high"/>
        <c:spPr>
          <a:ln/>
        </c:spPr>
        <c:crossAx val="-2078304640"/>
        <c:crossesAt val="2022"/>
        <c:crossBetween val="midCat"/>
        <c:majorUnit val="50"/>
        <c:minorUnit val="0.01"/>
      </c:valAx>
      <c:valAx>
        <c:axId val="-2078304640"/>
        <c:scaling>
          <c:orientation val="minMax"/>
          <c:max val="2022"/>
          <c:min val="1987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-2098565872"/>
        <c:crosses val="autoZero"/>
        <c:crossBetween val="midCat"/>
        <c:majorUnit val="5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span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5" footer="0.5"/>
    <c:pageSetup paperSize="9"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rgbClr val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'Age vs Depth'!$E$4:$E$38</c:f>
              <c:numCache>
                <c:formatCode>General</c:formatCode>
                <c:ptCount val="35"/>
                <c:pt idx="0">
                  <c:v>0</c:v>
                </c:pt>
                <c:pt idx="1">
                  <c:v>2.2994320156702193</c:v>
                </c:pt>
                <c:pt idx="2">
                  <c:v>4.5988640313404385</c:v>
                </c:pt>
                <c:pt idx="3">
                  <c:v>6.8982960470106578</c:v>
                </c:pt>
                <c:pt idx="4">
                  <c:v>9.1977280626808771</c:v>
                </c:pt>
                <c:pt idx="5">
                  <c:v>11.497160078351097</c:v>
                </c:pt>
                <c:pt idx="6">
                  <c:v>13.796592094021316</c:v>
                </c:pt>
                <c:pt idx="7">
                  <c:v>16.096024109691538</c:v>
                </c:pt>
                <c:pt idx="8">
                  <c:v>18.395456125361754</c:v>
                </c:pt>
                <c:pt idx="9">
                  <c:v>20.694888141031974</c:v>
                </c:pt>
                <c:pt idx="10">
                  <c:v>22.994320156702194</c:v>
                </c:pt>
                <c:pt idx="11">
                  <c:v>25.293752172372415</c:v>
                </c:pt>
                <c:pt idx="12">
                  <c:v>27.593184188042631</c:v>
                </c:pt>
                <c:pt idx="13">
                  <c:v>29.892616203712851</c:v>
                </c:pt>
                <c:pt idx="14">
                  <c:v>32.192048219383075</c:v>
                </c:pt>
                <c:pt idx="15">
                  <c:v>34.491480235053288</c:v>
                </c:pt>
                <c:pt idx="16">
                  <c:v>36.790912250723508</c:v>
                </c:pt>
                <c:pt idx="17">
                  <c:v>39.090344266393728</c:v>
                </c:pt>
                <c:pt idx="18">
                  <c:v>41.389776282063949</c:v>
                </c:pt>
                <c:pt idx="19">
                  <c:v>43.689208297734169</c:v>
                </c:pt>
                <c:pt idx="20">
                  <c:v>45.988640313404389</c:v>
                </c:pt>
                <c:pt idx="21">
                  <c:v>48.288072329074609</c:v>
                </c:pt>
                <c:pt idx="22">
                  <c:v>50.587504344744829</c:v>
                </c:pt>
                <c:pt idx="23">
                  <c:v>52.886936360415049</c:v>
                </c:pt>
                <c:pt idx="24">
                  <c:v>55.186368376085262</c:v>
                </c:pt>
                <c:pt idx="25">
                  <c:v>57.485800391755483</c:v>
                </c:pt>
                <c:pt idx="26">
                  <c:v>59.785232407425703</c:v>
                </c:pt>
                <c:pt idx="27">
                  <c:v>68.718580260155278</c:v>
                </c:pt>
                <c:pt idx="28">
                  <c:v>77.65192811288486</c:v>
                </c:pt>
                <c:pt idx="29">
                  <c:v>86.585275965614443</c:v>
                </c:pt>
                <c:pt idx="30">
                  <c:v>95.518623818344025</c:v>
                </c:pt>
                <c:pt idx="31">
                  <c:v>104.45197167107361</c:v>
                </c:pt>
                <c:pt idx="32">
                  <c:v>113.38531952380319</c:v>
                </c:pt>
                <c:pt idx="33">
                  <c:v>122.31866737653277</c:v>
                </c:pt>
                <c:pt idx="34">
                  <c:v>131.25201522926235</c:v>
                </c:pt>
              </c:numCache>
            </c:numRef>
          </c:xVal>
          <c:yVal>
            <c:numRef>
              <c:f>'Age vs Depth'!$F$4:$F$38</c:f>
              <c:numCache>
                <c:formatCode>General</c:formatCode>
                <c:ptCount val="35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17-2244-AC90-36A53E362CD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'Age vs Depth'!$I$5:$I$39</c:f>
              <c:numCache>
                <c:formatCode>General</c:formatCode>
                <c:ptCount val="35"/>
                <c:pt idx="0">
                  <c:v>0</c:v>
                </c:pt>
                <c:pt idx="1">
                  <c:v>1.8030736501859259</c:v>
                </c:pt>
                <c:pt idx="2">
                  <c:v>3.9689391127473144</c:v>
                </c:pt>
                <c:pt idx="3">
                  <c:v>6.6576702633117915</c:v>
                </c:pt>
                <c:pt idx="4">
                  <c:v>9.5063587121374145</c:v>
                </c:pt>
                <c:pt idx="5">
                  <c:v>12.602628197720536</c:v>
                </c:pt>
                <c:pt idx="6">
                  <c:v>15.720246778565768</c:v>
                </c:pt>
                <c:pt idx="7">
                  <c:v>19.057047142950911</c:v>
                </c:pt>
                <c:pt idx="8">
                  <c:v>22.221720848295064</c:v>
                </c:pt>
                <c:pt idx="9">
                  <c:v>24.714519571304784</c:v>
                </c:pt>
                <c:pt idx="10">
                  <c:v>27.243351899644914</c:v>
                </c:pt>
                <c:pt idx="11">
                  <c:v>29.858454135826733</c:v>
                </c:pt>
                <c:pt idx="12">
                  <c:v>31.931313055377448</c:v>
                </c:pt>
                <c:pt idx="13">
                  <c:v>34.268553671696736</c:v>
                </c:pt>
                <c:pt idx="14">
                  <c:v>37.208055135782907</c:v>
                </c:pt>
                <c:pt idx="15">
                  <c:v>40.656766027396372</c:v>
                </c:pt>
                <c:pt idx="16">
                  <c:v>44.134818449963262</c:v>
                </c:pt>
                <c:pt idx="17">
                  <c:v>47.493732810759937</c:v>
                </c:pt>
                <c:pt idx="18">
                  <c:v>50.472996426617399</c:v>
                </c:pt>
                <c:pt idx="19">
                  <c:v>53.636505277602751</c:v>
                </c:pt>
                <c:pt idx="20">
                  <c:v>57.045956333609212</c:v>
                </c:pt>
                <c:pt idx="21">
                  <c:v>60.377902565956987</c:v>
                </c:pt>
                <c:pt idx="22">
                  <c:v>63.959952243477673</c:v>
                </c:pt>
                <c:pt idx="23">
                  <c:v>68.525471255026972</c:v>
                </c:pt>
                <c:pt idx="24">
                  <c:v>74.754505915386119</c:v>
                </c:pt>
                <c:pt idx="25">
                  <c:v>79.827508966335927</c:v>
                </c:pt>
                <c:pt idx="26">
                  <c:v>85.978856686137547</c:v>
                </c:pt>
                <c:pt idx="27">
                  <c:v>92.984064613189659</c:v>
                </c:pt>
                <c:pt idx="28">
                  <c:v>101.84915963310381</c:v>
                </c:pt>
                <c:pt idx="29">
                  <c:v>108.98438459604988</c:v>
                </c:pt>
                <c:pt idx="30">
                  <c:v>117.73491280059979</c:v>
                </c:pt>
                <c:pt idx="31">
                  <c:v>128.81415442884997</c:v>
                </c:pt>
                <c:pt idx="32">
                  <c:v>137.56349903989329</c:v>
                </c:pt>
                <c:pt idx="33">
                  <c:v>147.72301539969743</c:v>
                </c:pt>
                <c:pt idx="34">
                  <c:v>155.64888733856</c:v>
                </c:pt>
              </c:numCache>
            </c:numRef>
          </c:xVal>
          <c:yVal>
            <c:numRef>
              <c:f>'Age vs Depth'!$J$5:$J$39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EC-DE45-BAB6-45FD3B4BC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090080"/>
        <c:axId val="1883159520"/>
      </c:scatterChart>
      <c:valAx>
        <c:axId val="18830900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aseline="0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159520"/>
        <c:crosses val="autoZero"/>
        <c:crossBetween val="midCat"/>
      </c:valAx>
      <c:valAx>
        <c:axId val="188315952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aseline="0"/>
                  <a:t>Depth (cm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090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image" Target="../media/image1.emf"/><Relationship Id="rId4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138387</xdr:colOff>
      <xdr:row>2</xdr:row>
      <xdr:rowOff>39951</xdr:rowOff>
    </xdr:from>
    <xdr:to>
      <xdr:col>18</xdr:col>
      <xdr:colOff>62187</xdr:colOff>
      <xdr:row>19</xdr:row>
      <xdr:rowOff>59292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120650</xdr:colOff>
      <xdr:row>2</xdr:row>
      <xdr:rowOff>171450</xdr:rowOff>
    </xdr:from>
    <xdr:to>
      <xdr:col>26</xdr:col>
      <xdr:colOff>374650</xdr:colOff>
      <xdr:row>39</xdr:row>
      <xdr:rowOff>57150</xdr:rowOff>
    </xdr:to>
    <xdr:graphicFrame macro="">
      <xdr:nvGraphicFramePr>
        <xdr:cNvPr id="41170" name="Chart 7">
          <a:extLst>
            <a:ext uri="{FF2B5EF4-FFF2-40B4-BE49-F238E27FC236}">
              <a16:creationId xmlns:a16="http://schemas.microsoft.com/office/drawing/2014/main" id="{00000000-0008-0000-0200-0000D2A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584200</xdr:colOff>
      <xdr:row>2</xdr:row>
      <xdr:rowOff>19050</xdr:rowOff>
    </xdr:from>
    <xdr:to>
      <xdr:col>33</xdr:col>
      <xdr:colOff>571500</xdr:colOff>
      <xdr:row>38</xdr:row>
      <xdr:rowOff>95250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737756</xdr:colOff>
      <xdr:row>51</xdr:row>
      <xdr:rowOff>40025</xdr:rowOff>
    </xdr:from>
    <xdr:to>
      <xdr:col>23</xdr:col>
      <xdr:colOff>730829</xdr:colOff>
      <xdr:row>67</xdr:row>
      <xdr:rowOff>66194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AE2813-5F97-5D40-8171-A4588ACD6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323946</xdr:colOff>
      <xdr:row>50</xdr:row>
      <xdr:rowOff>163758</xdr:rowOff>
    </xdr:from>
    <xdr:to>
      <xdr:col>31</xdr:col>
      <xdr:colOff>17413</xdr:colOff>
      <xdr:row>65</xdr:row>
      <xdr:rowOff>160943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1C7B11-34BC-524F-A947-052740277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330521</xdr:colOff>
      <xdr:row>73</xdr:row>
      <xdr:rowOff>19863</xdr:rowOff>
    </xdr:from>
    <xdr:to>
      <xdr:col>24</xdr:col>
      <xdr:colOff>338193</xdr:colOff>
      <xdr:row>98</xdr:row>
      <xdr:rowOff>166289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5D09CE-130A-854D-9158-0428E0B4B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0.42345</cdr:x>
      <cdr:y>0.09915</cdr:y>
    </cdr:from>
    <cdr:to>
      <cdr:x>0.67579</cdr:x>
      <cdr:y>0.17548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3043810" y="606962"/>
          <a:ext cx="1813870" cy="4672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2000" b="0" i="0" baseline="30000">
              <a:latin typeface="+mn-lt"/>
              <a:ea typeface="+mn-ea"/>
              <a:cs typeface="+mn-cs"/>
            </a:rPr>
            <a:t>210</a:t>
          </a:r>
          <a:r>
            <a:rPr lang="es-ES" sz="2000" b="0" i="0" baseline="0">
              <a:latin typeface="+mn-lt"/>
              <a:ea typeface="+mn-ea"/>
              <a:cs typeface="+mn-cs"/>
            </a:rPr>
            <a:t>Pb</a:t>
          </a:r>
          <a:r>
            <a:rPr lang="es-ES" sz="2000" b="0" i="0" baseline="-25000">
              <a:latin typeface="+mn-lt"/>
              <a:ea typeface="+mn-ea"/>
              <a:cs typeface="+mn-cs"/>
            </a:rPr>
            <a:t>XS</a:t>
          </a:r>
          <a:r>
            <a:rPr lang="es-ES" sz="2000" b="0" i="0" baseline="0">
              <a:latin typeface="+mn-lt"/>
              <a:ea typeface="+mn-ea"/>
              <a:cs typeface="+mn-cs"/>
            </a:rPr>
            <a:t> (dpm g-1)</a:t>
          </a:r>
          <a:endParaRPr lang="es-ES" sz="2000" baseline="0"/>
        </a:p>
        <a:p xmlns:a="http://schemas.openxmlformats.org/drawingml/2006/main">
          <a:endParaRPr lang="es-E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0.35787</cdr:x>
      <cdr:y>0.10378</cdr:y>
    </cdr:from>
    <cdr:to>
      <cdr:x>0.61021</cdr:x>
      <cdr:y>0.18011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031585" y="631351"/>
          <a:ext cx="1432509" cy="4643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2000" b="0" i="0" baseline="0">
              <a:latin typeface="+mn-lt"/>
              <a:ea typeface="+mn-ea"/>
              <a:cs typeface="+mn-cs"/>
            </a:rPr>
            <a:t>Ln </a:t>
          </a:r>
          <a:r>
            <a:rPr lang="es-ES" sz="2000" b="0" i="0" baseline="30000">
              <a:latin typeface="+mn-lt"/>
              <a:ea typeface="+mn-ea"/>
              <a:cs typeface="+mn-cs"/>
            </a:rPr>
            <a:t>210</a:t>
          </a:r>
          <a:r>
            <a:rPr lang="es-ES" sz="2000" b="0" i="0" baseline="0">
              <a:latin typeface="+mn-lt"/>
              <a:ea typeface="+mn-ea"/>
              <a:cs typeface="+mn-cs"/>
            </a:rPr>
            <a:t>Pb</a:t>
          </a:r>
          <a:r>
            <a:rPr lang="es-ES" sz="2000" b="0" i="0" baseline="-25000">
              <a:latin typeface="+mn-lt"/>
              <a:ea typeface="+mn-ea"/>
              <a:cs typeface="+mn-cs"/>
            </a:rPr>
            <a:t>XS</a:t>
          </a:r>
          <a:r>
            <a:rPr lang="es-ES" sz="2000" b="0" i="0" baseline="0">
              <a:latin typeface="+mn-lt"/>
              <a:ea typeface="+mn-ea"/>
              <a:cs typeface="+mn-cs"/>
            </a:rPr>
            <a:t> (dpm g-1)</a:t>
          </a:r>
          <a:endParaRPr lang="es-ES" sz="2000" baseline="0"/>
        </a:p>
        <a:p xmlns:a="http://schemas.openxmlformats.org/drawingml/2006/main">
          <a:endParaRPr lang="es-E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0.13796</cdr:x>
      <cdr:y>0.49383</cdr:y>
    </cdr:from>
    <cdr:to>
      <cdr:x>0.96204</cdr:x>
      <cdr:y>0.49691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48211B22-638E-BF45-A56E-5B6FB1F4DC9F}"/>
            </a:ext>
          </a:extLst>
        </cdr:cNvPr>
        <cdr:cNvCxnSpPr/>
      </cdr:nvCxnSpPr>
      <cdr:spPr bwMode="auto">
        <a:xfrm xmlns:a="http://schemas.openxmlformats.org/drawingml/2006/main" flipV="1">
          <a:off x="630766" y="1354666"/>
          <a:ext cx="3767666" cy="8467"/>
        </a:xfrm>
        <a:prstGeom xmlns:a="http://schemas.openxmlformats.org/drawingml/2006/main" prst="line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33317</xdr:colOff>
      <xdr:row>8</xdr:row>
      <xdr:rowOff>31536</xdr:rowOff>
    </xdr:from>
    <xdr:to>
      <xdr:col>9</xdr:col>
      <xdr:colOff>455550</xdr:colOff>
      <xdr:row>26</xdr:row>
      <xdr:rowOff>51856</xdr:rowOff>
    </xdr:to>
    <xdr:graphicFrame macro="">
      <xdr:nvGraphicFramePr>
        <xdr:cNvPr id="44267" name="Chart 1">
          <a:extLst>
            <a:ext uri="{FF2B5EF4-FFF2-40B4-BE49-F238E27FC236}">
              <a16:creationId xmlns:a16="http://schemas.microsoft.com/office/drawing/2014/main" id="{00000000-0008-0000-0400-0000EBA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393700</xdr:colOff>
      <xdr:row>9</xdr:row>
      <xdr:rowOff>8467</xdr:rowOff>
    </xdr:from>
    <xdr:to>
      <xdr:col>42</xdr:col>
      <xdr:colOff>16509</xdr:colOff>
      <xdr:row>16</xdr:row>
      <xdr:rowOff>22436</xdr:rowOff>
    </xdr:to>
    <xdr:pic>
      <xdr:nvPicPr>
        <xdr:cNvPr id="42590" name="Picture 1">
          <a:extLst>
            <a:ext uri="{FF2B5EF4-FFF2-40B4-BE49-F238E27FC236}">
              <a16:creationId xmlns:a16="http://schemas.microsoft.com/office/drawing/2014/main" id="{00000000-0008-0000-0300-00005EA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16300" y="1617134"/>
          <a:ext cx="3708400" cy="109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36</xdr:col>
      <xdr:colOff>0</xdr:colOff>
      <xdr:row>16</xdr:row>
      <xdr:rowOff>0</xdr:rowOff>
    </xdr:from>
    <xdr:to>
      <xdr:col>45</xdr:col>
      <xdr:colOff>59266</xdr:colOff>
      <xdr:row>18</xdr:row>
      <xdr:rowOff>152400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6548100" y="2781300"/>
          <a:ext cx="5317066" cy="444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xdr:spPr>
      <xdr:txBody>
        <a:bodyPr wrap="square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5pPr>
          <a:lvl6pPr marL="2286000" algn="l" defTabSz="457200" rtl="0" eaLnBrk="1" latinLnBrk="0" hangingPunct="1"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6pPr>
          <a:lvl7pPr marL="2743200" algn="l" defTabSz="457200" rtl="0" eaLnBrk="1" latinLnBrk="0" hangingPunct="1"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7pPr>
          <a:lvl8pPr marL="3200400" algn="l" defTabSz="457200" rtl="0" eaLnBrk="1" latinLnBrk="0" hangingPunct="1"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8pPr>
          <a:lvl9pPr marL="3657600" algn="l" defTabSz="457200" rtl="0" eaLnBrk="1" latinLnBrk="0" hangingPunct="1"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9pPr>
        </a:lstStyle>
        <a:p>
          <a:pPr>
            <a:lnSpc>
              <a:spcPts val="1800"/>
            </a:lnSpc>
            <a:spcBef>
              <a:spcPct val="50000"/>
            </a:spcBef>
            <a:defRPr/>
          </a:pPr>
          <a:r>
            <a:rPr lang="en-US" sz="2000" b="1">
              <a:solidFill>
                <a:srgbClr val="008000"/>
              </a:solidFill>
              <a:cs typeface="+mn-cs"/>
            </a:rPr>
            <a:t>Graphical solution:</a:t>
          </a:r>
          <a:r>
            <a:rPr lang="en-US" sz="2000">
              <a:solidFill>
                <a:srgbClr val="008000"/>
              </a:solidFill>
              <a:cs typeface="+mn-cs"/>
            </a:rPr>
            <a:t>  </a:t>
          </a:r>
          <a:r>
            <a:rPr lang="en-US" sz="2000">
              <a:cs typeface="+mn-cs"/>
            </a:rPr>
            <a:t>plot ln(C</a:t>
          </a:r>
          <a:r>
            <a:rPr lang="en-US" sz="2000" baseline="-25000">
              <a:cs typeface="+mn-cs"/>
            </a:rPr>
            <a:t>x</a:t>
          </a:r>
          <a:r>
            <a:rPr lang="en-US" sz="2000">
              <a:cs typeface="+mn-cs"/>
            </a:rPr>
            <a:t>) vs. x</a:t>
          </a:r>
        </a:p>
        <a:p>
          <a:pPr>
            <a:lnSpc>
              <a:spcPts val="4400"/>
            </a:lnSpc>
            <a:spcBef>
              <a:spcPct val="50000"/>
            </a:spcBef>
            <a:defRPr/>
          </a:pPr>
          <a:endParaRPr lang="en-US" sz="2000">
            <a:cs typeface="+mn-cs"/>
          </a:endParaRPr>
        </a:p>
      </xdr:txBody>
    </xdr:sp>
    <xdr:clientData/>
  </xdr:twoCellAnchor>
  <xdr:twoCellAnchor>
    <xdr:from>
      <xdr:col>36</xdr:col>
      <xdr:colOff>101600</xdr:colOff>
      <xdr:row>18</xdr:row>
      <xdr:rowOff>127000</xdr:rowOff>
    </xdr:from>
    <xdr:to>
      <xdr:col>45</xdr:col>
      <xdr:colOff>16933</xdr:colOff>
      <xdr:row>21</xdr:row>
      <xdr:rowOff>59857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>
          <a:spLocks noChangeArrowheads="1"/>
        </xdr:cNvSpPr>
      </xdr:nvSpPr>
      <xdr:spPr bwMode="auto">
        <a:xfrm>
          <a:off x="16649700" y="3200400"/>
          <a:ext cx="5173133" cy="402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xdr:spPr>
      <xdr:txBody>
        <a:bodyPr wrap="square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5pPr>
          <a:lvl6pPr marL="2286000" algn="l" defTabSz="457200" rtl="0" eaLnBrk="1" latinLnBrk="0" hangingPunct="1"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6pPr>
          <a:lvl7pPr marL="2743200" algn="l" defTabSz="457200" rtl="0" eaLnBrk="1" latinLnBrk="0" hangingPunct="1"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7pPr>
          <a:lvl8pPr marL="3200400" algn="l" defTabSz="457200" rtl="0" eaLnBrk="1" latinLnBrk="0" hangingPunct="1"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8pPr>
          <a:lvl9pPr marL="3657600" algn="l" defTabSz="457200" rtl="0" eaLnBrk="1" latinLnBrk="0" hangingPunct="1"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9pPr>
        </a:lstStyle>
        <a:p>
          <a:pPr>
            <a:spcBef>
              <a:spcPct val="50000"/>
            </a:spcBef>
            <a:defRPr/>
          </a:pPr>
          <a:r>
            <a:rPr lang="en-US" sz="2000">
              <a:cs typeface="+mn-cs"/>
            </a:rPr>
            <a:t>Y-intercept is </a:t>
          </a:r>
          <a:r>
            <a:rPr lang="en-US" sz="2000" b="1">
              <a:solidFill>
                <a:srgbClr val="FF0000"/>
              </a:solidFill>
              <a:cs typeface="+mn-cs"/>
            </a:rPr>
            <a:t>P/</a:t>
          </a:r>
          <a:r>
            <a:rPr lang="en-US" sz="2000" b="1">
              <a:solidFill>
                <a:srgbClr val="FF0000"/>
              </a:solidFill>
              <a:cs typeface="+mn-cs"/>
              <a:sym typeface="Symbol" charset="0"/>
            </a:rPr>
            <a:t>r</a:t>
          </a:r>
          <a:r>
            <a:rPr lang="en-US" sz="2000" b="1">
              <a:cs typeface="+mn-cs"/>
              <a:sym typeface="Symbol" charset="0"/>
            </a:rPr>
            <a:t> </a:t>
          </a:r>
          <a:r>
            <a:rPr lang="en-US" sz="2000">
              <a:cs typeface="+mn-cs"/>
              <a:sym typeface="Symbol" charset="0"/>
            </a:rPr>
            <a:t>and</a:t>
          </a:r>
          <a:r>
            <a:rPr lang="en-US" sz="2000" b="1">
              <a:cs typeface="+mn-cs"/>
              <a:sym typeface="Symbol" charset="0"/>
            </a:rPr>
            <a:t> </a:t>
          </a:r>
          <a:r>
            <a:rPr lang="en-US" sz="2000">
              <a:cs typeface="+mn-cs"/>
              <a:sym typeface="Symbol" charset="0"/>
            </a:rPr>
            <a:t>slope is   </a:t>
          </a:r>
          <a:r>
            <a:rPr lang="en-US" sz="2000" b="1">
              <a:solidFill>
                <a:srgbClr val="FF0000"/>
              </a:solidFill>
              <a:cs typeface="+mn-cs"/>
              <a:sym typeface="Symbol" charset="0"/>
            </a:rPr>
            <a:t>/ S</a:t>
          </a:r>
          <a:r>
            <a:rPr lang="en-US" sz="2000" b="1" baseline="-25000">
              <a:solidFill>
                <a:srgbClr val="FF0000"/>
              </a:solidFill>
              <a:cs typeface="+mn-cs"/>
              <a:sym typeface="Symbol" charset="0"/>
            </a:rPr>
            <a:t>0</a:t>
          </a:r>
          <a:endParaRPr lang="en-US" sz="2000" b="1" baseline="-25000">
            <a:solidFill>
              <a:srgbClr val="FF0000"/>
            </a:solidFill>
            <a:cs typeface="+mn-cs"/>
          </a:endParaRPr>
        </a:p>
      </xdr:txBody>
    </xdr:sp>
    <xdr:clientData/>
  </xdr:twoCellAnchor>
  <xdr:twoCellAnchor>
    <xdr:from>
      <xdr:col>34</xdr:col>
      <xdr:colOff>0</xdr:colOff>
      <xdr:row>24</xdr:row>
      <xdr:rowOff>0</xdr:rowOff>
    </xdr:from>
    <xdr:to>
      <xdr:col>52</xdr:col>
      <xdr:colOff>262467</xdr:colOff>
      <xdr:row>31</xdr:row>
      <xdr:rowOff>109169</xdr:rowOff>
    </xdr:to>
    <xdr:sp macro="" textlink="">
      <xdr:nvSpPr>
        <xdr:cNvPr id="7" name="Text Box 8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>
          <a:spLocks noChangeArrowheads="1"/>
        </xdr:cNvSpPr>
      </xdr:nvSpPr>
      <xdr:spPr bwMode="auto">
        <a:xfrm>
          <a:off x="15379700" y="4000500"/>
          <a:ext cx="10778067" cy="11633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xdr:spPr>
      <xdr:txBody>
        <a:bodyPr wrap="square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5pPr>
          <a:lvl6pPr marL="2286000" algn="l" defTabSz="457200" rtl="0" eaLnBrk="1" latinLnBrk="0" hangingPunct="1"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6pPr>
          <a:lvl7pPr marL="2743200" algn="l" defTabSz="457200" rtl="0" eaLnBrk="1" latinLnBrk="0" hangingPunct="1"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7pPr>
          <a:lvl8pPr marL="3200400" algn="l" defTabSz="457200" rtl="0" eaLnBrk="1" latinLnBrk="0" hangingPunct="1"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8pPr>
          <a:lvl9pPr marL="3657600" algn="l" defTabSz="457200" rtl="0" eaLnBrk="1" latinLnBrk="0" hangingPunct="1">
            <a:defRPr sz="2400" kern="1200">
              <a:solidFill>
                <a:schemeClr val="tx1"/>
              </a:solidFill>
              <a:latin typeface="Times New Roman" charset="0"/>
              <a:ea typeface="ＭＳ Ｐゴシック" charset="0"/>
              <a:cs typeface="ＭＳ Ｐゴシック" charset="0"/>
            </a:defRPr>
          </a:lvl9pPr>
        </a:lstStyle>
        <a:p>
          <a:pPr>
            <a:lnSpc>
              <a:spcPts val="2000"/>
            </a:lnSpc>
            <a:spcBef>
              <a:spcPct val="50000"/>
            </a:spcBef>
            <a:defRPr/>
          </a:pPr>
          <a:r>
            <a:rPr lang="en-US" sz="2000" b="1">
              <a:solidFill>
                <a:srgbClr val="FF0000"/>
              </a:solidFill>
              <a:cs typeface="+mn-cs"/>
            </a:rPr>
            <a:t>S</a:t>
          </a:r>
          <a:r>
            <a:rPr lang="en-US" sz="2000" b="1" baseline="-25000">
              <a:solidFill>
                <a:srgbClr val="FF0000"/>
              </a:solidFill>
              <a:cs typeface="+mn-cs"/>
            </a:rPr>
            <a:t>0</a:t>
          </a:r>
          <a:r>
            <a:rPr lang="en-US" sz="2000">
              <a:cs typeface="+mn-cs"/>
            </a:rPr>
            <a:t> is sedimentation rate (cm y</a:t>
          </a:r>
          <a:r>
            <a:rPr lang="en-US" sz="2000" baseline="30000">
              <a:cs typeface="+mn-cs"/>
            </a:rPr>
            <a:t>-1</a:t>
          </a:r>
          <a:r>
            <a:rPr lang="en-US" sz="2000">
              <a:cs typeface="+mn-cs"/>
            </a:rPr>
            <a:t>)     CONSTANT</a:t>
          </a:r>
        </a:p>
        <a:p>
          <a:pPr>
            <a:lnSpc>
              <a:spcPts val="3500"/>
            </a:lnSpc>
            <a:spcBef>
              <a:spcPct val="50000"/>
            </a:spcBef>
            <a:defRPr/>
          </a:pPr>
          <a:r>
            <a:rPr lang="en-US" sz="2000" b="1">
              <a:solidFill>
                <a:srgbClr val="FF0000"/>
              </a:solidFill>
              <a:cs typeface="+mn-cs"/>
            </a:rPr>
            <a:t>P</a:t>
          </a:r>
          <a:r>
            <a:rPr lang="en-US" sz="2000">
              <a:cs typeface="+mn-cs"/>
            </a:rPr>
            <a:t> is the flux of </a:t>
          </a:r>
          <a:r>
            <a:rPr lang="en-US" sz="2000" baseline="30000">
              <a:cs typeface="+mn-cs"/>
            </a:rPr>
            <a:t>210</a:t>
          </a:r>
          <a:r>
            <a:rPr lang="en-US" sz="2000">
              <a:cs typeface="+mn-cs"/>
            </a:rPr>
            <a:t>Pb at the sediment / water interface </a:t>
          </a:r>
          <a:r>
            <a:rPr lang="tr-TR" sz="2000">
              <a:cs typeface="+mn-cs"/>
            </a:rPr>
            <a:t>(dpm cm-2 y-1)</a:t>
          </a:r>
          <a:endParaRPr lang="en-US" sz="2000">
            <a:cs typeface="+mn-cs"/>
          </a:endParaRPr>
        </a:p>
        <a:p>
          <a:pPr>
            <a:lnSpc>
              <a:spcPts val="3400"/>
            </a:lnSpc>
            <a:spcBef>
              <a:spcPct val="50000"/>
            </a:spcBef>
            <a:defRPr/>
          </a:pPr>
          <a:r>
            <a:rPr lang="en-US" sz="2000" b="1">
              <a:solidFill>
                <a:srgbClr val="FF0000"/>
              </a:solidFill>
              <a:cs typeface="+mn-cs"/>
              <a:sym typeface="Symbol" charset="0"/>
            </a:rPr>
            <a:t>r</a:t>
          </a:r>
          <a:r>
            <a:rPr lang="en-US" sz="2000">
              <a:cs typeface="+mn-cs"/>
              <a:sym typeface="Symbol" charset="0"/>
            </a:rPr>
            <a:t> is mass accumulation rate (g cm</a:t>
          </a:r>
          <a:r>
            <a:rPr lang="en-US" sz="2000" baseline="30000">
              <a:cs typeface="+mn-cs"/>
              <a:sym typeface="Symbol" charset="0"/>
            </a:rPr>
            <a:t>-2</a:t>
          </a:r>
          <a:r>
            <a:rPr lang="en-US" sz="2000">
              <a:cs typeface="+mn-cs"/>
              <a:sym typeface="Symbol" charset="0"/>
            </a:rPr>
            <a:t> y</a:t>
          </a:r>
          <a:r>
            <a:rPr lang="en-US" sz="2000" baseline="30000">
              <a:cs typeface="+mn-cs"/>
              <a:sym typeface="Symbol" charset="0"/>
            </a:rPr>
            <a:t>-1</a:t>
          </a:r>
          <a:r>
            <a:rPr lang="en-US" sz="2000">
              <a:cs typeface="+mn-cs"/>
              <a:sym typeface="Symbol" charset="0"/>
            </a:rPr>
            <a:t>)</a:t>
          </a:r>
          <a:endParaRPr lang="en-US" sz="2000" b="1">
            <a:solidFill>
              <a:srgbClr val="FF3300"/>
            </a:solidFill>
            <a:cs typeface="+mn-cs"/>
          </a:endParaRPr>
        </a:p>
      </xdr:txBody>
    </xdr:sp>
    <xdr:clientData/>
  </xdr:twoCellAnchor>
  <xdr:twoCellAnchor>
    <xdr:from>
      <xdr:col>21</xdr:col>
      <xdr:colOff>57148</xdr:colOff>
      <xdr:row>4</xdr:row>
      <xdr:rowOff>190500</xdr:rowOff>
    </xdr:from>
    <xdr:to>
      <xdr:col>29</xdr:col>
      <xdr:colOff>215899</xdr:colOff>
      <xdr:row>26</xdr:row>
      <xdr:rowOff>55033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566399</xdr:colOff>
      <xdr:row>29</xdr:row>
      <xdr:rowOff>87098</xdr:rowOff>
    </xdr:from>
    <xdr:to>
      <xdr:col>29</xdr:col>
      <xdr:colOff>248900</xdr:colOff>
      <xdr:row>47</xdr:row>
      <xdr:rowOff>136983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159626</xdr:colOff>
      <xdr:row>49</xdr:row>
      <xdr:rowOff>37224</xdr:rowOff>
    </xdr:from>
    <xdr:to>
      <xdr:col>29</xdr:col>
      <xdr:colOff>522452</xdr:colOff>
      <xdr:row>67</xdr:row>
      <xdr:rowOff>75325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20E218-4FE2-2948-8CE5-6BA51C7BB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0.44288</cdr:x>
      <cdr:y>0.02654</cdr:y>
    </cdr:from>
    <cdr:to>
      <cdr:x>0.69522</cdr:x>
      <cdr:y>0.10287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247900" y="128269"/>
          <a:ext cx="1269999" cy="3797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ES" sz="11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16595</xdr:colOff>
      <xdr:row>1</xdr:row>
      <xdr:rowOff>33914</xdr:rowOff>
    </xdr:from>
    <xdr:to>
      <xdr:col>12</xdr:col>
      <xdr:colOff>69333</xdr:colOff>
      <xdr:row>30</xdr:row>
      <xdr:rowOff>134164</xdr:rowOff>
    </xdr:to>
    <xdr:graphicFrame macro="">
      <xdr:nvGraphicFramePr>
        <xdr:cNvPr id="46470" name="Chart 1">
          <a:extLst>
            <a:ext uri="{FF2B5EF4-FFF2-40B4-BE49-F238E27FC236}">
              <a16:creationId xmlns:a16="http://schemas.microsoft.com/office/drawing/2014/main" id="{00000000-0008-0000-0600-000086B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23811</xdr:colOff>
      <xdr:row>1</xdr:row>
      <xdr:rowOff>23813</xdr:rowOff>
    </xdr:from>
    <xdr:to>
      <xdr:col>22</xdr:col>
      <xdr:colOff>251836</xdr:colOff>
      <xdr:row>23</xdr:row>
      <xdr:rowOff>109683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142874</xdr:colOff>
      <xdr:row>62</xdr:row>
      <xdr:rowOff>76994</xdr:rowOff>
    </xdr:from>
    <xdr:to>
      <xdr:col>5</xdr:col>
      <xdr:colOff>420687</xdr:colOff>
      <xdr:row>78</xdr:row>
      <xdr:rowOff>57944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2F5710-6FDC-E95C-D67F-24C3882C2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126999</xdr:colOff>
      <xdr:row>47</xdr:row>
      <xdr:rowOff>219869</xdr:rowOff>
    </xdr:from>
    <xdr:to>
      <xdr:col>5</xdr:col>
      <xdr:colOff>404812</xdr:colOff>
      <xdr:row>61</xdr:row>
      <xdr:rowOff>129381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DD003B-B6D7-50A8-5A40-186DA8B58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82798</xdr:colOff>
      <xdr:row>9</xdr:row>
      <xdr:rowOff>21640</xdr:rowOff>
    </xdr:from>
    <xdr:to>
      <xdr:col>9</xdr:col>
      <xdr:colOff>505031</xdr:colOff>
      <xdr:row>27</xdr:row>
      <xdr:rowOff>51856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141079-BD48-451C-A8D6-2E848FBB2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362380</xdr:colOff>
      <xdr:row>102</xdr:row>
      <xdr:rowOff>127856</xdr:rowOff>
    </xdr:from>
    <xdr:to>
      <xdr:col>23</xdr:col>
      <xdr:colOff>751461</xdr:colOff>
      <xdr:row>141</xdr:row>
      <xdr:rowOff>144520</xdr:rowOff>
    </xdr:to>
    <xdr:graphicFrame macro="">
      <xdr:nvGraphicFramePr>
        <xdr:cNvPr id="45549" name="Chart 16">
          <a:extLst>
            <a:ext uri="{FF2B5EF4-FFF2-40B4-BE49-F238E27FC236}">
              <a16:creationId xmlns:a16="http://schemas.microsoft.com/office/drawing/2014/main" id="{00000000-0008-0000-0500-0000EDB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10209</xdr:colOff>
      <xdr:row>92</xdr:row>
      <xdr:rowOff>79977</xdr:rowOff>
    </xdr:from>
    <xdr:to>
      <xdr:col>30</xdr:col>
      <xdr:colOff>209995</xdr:colOff>
      <xdr:row>130</xdr:row>
      <xdr:rowOff>84379</xdr:rowOff>
    </xdr:to>
    <xdr:graphicFrame macro="">
      <xdr:nvGraphicFramePr>
        <xdr:cNvPr id="45550" name="Chart 17">
          <a:extLst>
            <a:ext uri="{FF2B5EF4-FFF2-40B4-BE49-F238E27FC236}">
              <a16:creationId xmlns:a16="http://schemas.microsoft.com/office/drawing/2014/main" id="{00000000-0008-0000-0500-0000EEB10000}"/>
            </a:ext>
            <a:ext uri="{147F2762-F138-4A5C-976F-8EAC2B608ADB}">
              <a16:predDERef xmlns:a16="http://schemas.microsoft.com/office/drawing/2014/main" pred="{00000000-0008-0000-0500-0000EDB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31</xdr:col>
      <xdr:colOff>533400</xdr:colOff>
      <xdr:row>3</xdr:row>
      <xdr:rowOff>12700</xdr:rowOff>
    </xdr:from>
    <xdr:to>
      <xdr:col>38</xdr:col>
      <xdr:colOff>3175</xdr:colOff>
      <xdr:row>30</xdr:row>
      <xdr:rowOff>99</xdr:rowOff>
    </xdr:to>
    <xdr:pic>
      <xdr:nvPicPr>
        <xdr:cNvPr id="45551" name="Picture 1" descr="crs.png">
          <a:extLst>
            <a:ext uri="{FF2B5EF4-FFF2-40B4-BE49-F238E27FC236}">
              <a16:creationId xmlns:a16="http://schemas.microsoft.com/office/drawing/2014/main" id="{00000000-0008-0000-0500-0000EFB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6300" y="508000"/>
          <a:ext cx="5575300" cy="536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68596</xdr:colOff>
      <xdr:row>23</xdr:row>
      <xdr:rowOff>39197</xdr:rowOff>
    </xdr:from>
    <xdr:to>
      <xdr:col>30</xdr:col>
      <xdr:colOff>162576</xdr:colOff>
      <xdr:row>56</xdr:row>
      <xdr:rowOff>116840</xdr:rowOff>
    </xdr:to>
    <xdr:graphicFrame macro="">
      <xdr:nvGraphicFramePr>
        <xdr:cNvPr id="5" name="Chart 16">
          <a:extLst>
            <a:ext uri="{FF2B5EF4-FFF2-40B4-BE49-F238E27FC236}">
              <a16:creationId xmlns:a16="http://schemas.microsoft.com/office/drawing/2014/main" id="{00000000-0008-0000-0500-000005000000}"/>
            </a:ext>
            <a:ext uri="{147F2762-F138-4A5C-976F-8EAC2B608ADB}">
              <a16:predDERef xmlns:a16="http://schemas.microsoft.com/office/drawing/2014/main" pred="{00000000-0008-0000-0500-0000EFB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362857</xdr:colOff>
      <xdr:row>109</xdr:row>
      <xdr:rowOff>0</xdr:rowOff>
    </xdr:from>
    <xdr:to>
      <xdr:col>4</xdr:col>
      <xdr:colOff>436683</xdr:colOff>
      <xdr:row>113</xdr:row>
      <xdr:rowOff>59048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116384-5588-7C4D-B0F0-03182ECE5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9157" y="53568600"/>
          <a:ext cx="1384465" cy="719447"/>
        </a:xfrm>
        <a:prstGeom prst="rect">
          <a:avLst/>
        </a:prstGeom>
      </xdr:spPr>
    </xdr:pic>
    <xdr:clientData/>
  </xdr:twoCellAnchor>
  <xdr:twoCellAnchor editAs="oneCell">
    <xdr:from>
      <xdr:col>2</xdr:col>
      <xdr:colOff>263896</xdr:colOff>
      <xdr:row>115</xdr:row>
      <xdr:rowOff>0</xdr:rowOff>
    </xdr:from>
    <xdr:to>
      <xdr:col>4</xdr:col>
      <xdr:colOff>815994</xdr:colOff>
      <xdr:row>118</xdr:row>
      <xdr:rowOff>18935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8A1456-9DDD-E84A-AC9F-B841D85D6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196" y="54711600"/>
          <a:ext cx="1900547" cy="556656"/>
        </a:xfrm>
        <a:prstGeom prst="rect">
          <a:avLst/>
        </a:prstGeom>
      </xdr:spPr>
    </xdr:pic>
    <xdr:clientData/>
  </xdr:twoCellAnchor>
  <xdr:twoCellAnchor editAs="oneCell">
    <xdr:from>
      <xdr:col>1</xdr:col>
      <xdr:colOff>49480</xdr:colOff>
      <xdr:row>124</xdr:row>
      <xdr:rowOff>32988</xdr:rowOff>
    </xdr:from>
    <xdr:to>
      <xdr:col>8</xdr:col>
      <xdr:colOff>363697</xdr:colOff>
      <xdr:row>141</xdr:row>
      <xdr:rowOff>704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8AD617-FE87-3046-A850-C355DBB38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3636" y="18868572"/>
          <a:ext cx="5283200" cy="27686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545317</xdr:colOff>
      <xdr:row>1</xdr:row>
      <xdr:rowOff>181018</xdr:rowOff>
    </xdr:from>
    <xdr:to>
      <xdr:col>20</xdr:col>
      <xdr:colOff>272267</xdr:colOff>
      <xdr:row>33</xdr:row>
      <xdr:rowOff>66630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D393D2-C834-2E4B-BE4A-9FC4BFE2E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X40"/>
  <sheetViews>
    <sheetView topLeftCell="A4" zoomScale="145" zoomScaleNormal="110" zoomScaleSheetLayoutView="100" zoomScalePageLayoutView="110" workbookViewId="0">
      <selection activeCell="B25" sqref="B25"/>
    </sheetView>
  </sheetViews>
  <sheetFormatPr defaultColWidth="12.6328125" defaultRowHeight="13"/>
  <cols>
    <col min="1" max="1" width="25.36328125" style="11" bestFit="1" customWidth="1"/>
    <col min="2" max="2" width="13" style="31" customWidth="1"/>
    <col min="3" max="3" width="12.6328125" style="11" customWidth="1"/>
    <col min="4" max="4" width="9.6328125" style="11" customWidth="1"/>
    <col min="5" max="6" width="12.6328125" style="11" customWidth="1"/>
    <col min="7" max="10" width="9.6328125" style="11" customWidth="1"/>
    <col min="11" max="11" width="12.6328125" style="11" customWidth="1"/>
    <col min="12" max="12" width="9.6328125" style="11" customWidth="1"/>
    <col min="13" max="13" width="12.6328125" style="11" customWidth="1"/>
    <col min="14" max="14" width="9.6328125" style="11" customWidth="1"/>
    <col min="15" max="15" width="12.6328125" style="11" customWidth="1"/>
    <col min="16" max="16" width="9.6328125" style="11" customWidth="1"/>
    <col min="17" max="17" width="12.6328125" style="11" customWidth="1"/>
    <col min="18" max="18" width="9.6328125" style="11" customWidth="1"/>
    <col min="19" max="19" width="12.6328125" style="11" customWidth="1"/>
    <col min="20" max="20" width="9.6328125" style="11" customWidth="1"/>
    <col min="21" max="16384" width="12.6328125" style="11"/>
  </cols>
  <sheetData>
    <row r="2" spans="1:24" s="38" customFormat="1" ht="18" customHeight="1" thickBot="1">
      <c r="A2" s="27" t="s">
        <v>0</v>
      </c>
      <c r="B2" s="278">
        <v>44413</v>
      </c>
      <c r="C2" s="28"/>
      <c r="D2" s="28"/>
    </row>
    <row r="3" spans="1:24" ht="21.5" thickTop="1" thickBot="1">
      <c r="A3" s="11" t="s">
        <v>1</v>
      </c>
      <c r="B3" s="339" t="s">
        <v>272</v>
      </c>
      <c r="D3" s="29"/>
      <c r="F3" s="38"/>
      <c r="K3" s="210"/>
    </row>
    <row r="4" spans="1:24" ht="13.5" thickTop="1">
      <c r="A4" s="11" t="s">
        <v>2</v>
      </c>
      <c r="B4" s="102"/>
      <c r="D4" s="29"/>
    </row>
    <row r="5" spans="1:24">
      <c r="A5" s="11" t="s">
        <v>3</v>
      </c>
      <c r="B5" s="102"/>
      <c r="D5" s="29"/>
    </row>
    <row r="6" spans="1:24" ht="14.5">
      <c r="A6" s="11" t="s">
        <v>4</v>
      </c>
      <c r="B6" s="102"/>
      <c r="D6" s="29"/>
      <c r="G6" s="205"/>
      <c r="H6" s="211"/>
      <c r="I6" s="53"/>
      <c r="N6" s="32"/>
    </row>
    <row r="7" spans="1:24" ht="14.5">
      <c r="A7" s="11" t="s">
        <v>5</v>
      </c>
      <c r="B7" s="102"/>
      <c r="D7" s="29"/>
      <c r="G7" s="205"/>
      <c r="H7" s="212"/>
      <c r="I7" s="53"/>
      <c r="W7" s="32" t="s">
        <v>6</v>
      </c>
      <c r="X7" s="32"/>
    </row>
    <row r="8" spans="1:24" ht="14.5">
      <c r="A8" s="11" t="s">
        <v>7</v>
      </c>
      <c r="B8" s="102"/>
      <c r="D8" s="29"/>
      <c r="G8" s="205"/>
      <c r="H8" s="213"/>
      <c r="I8" s="53"/>
    </row>
    <row r="9" spans="1:24" ht="14.5">
      <c r="B9" s="33"/>
      <c r="C9" s="41" t="s">
        <v>8</v>
      </c>
      <c r="D9" s="29"/>
      <c r="G9" s="206"/>
      <c r="H9" s="213"/>
      <c r="I9" s="207"/>
    </row>
    <row r="10" spans="1:24">
      <c r="A10" s="11" t="s">
        <v>9</v>
      </c>
      <c r="B10" s="29"/>
      <c r="C10" s="29"/>
      <c r="D10" s="29"/>
      <c r="G10" s="205"/>
      <c r="H10" s="53"/>
      <c r="I10" s="208"/>
    </row>
    <row r="11" spans="1:24">
      <c r="A11" s="11" t="s">
        <v>10</v>
      </c>
      <c r="B11" s="29"/>
      <c r="C11" s="29"/>
      <c r="D11" s="29"/>
      <c r="G11" s="53"/>
      <c r="H11" s="53"/>
      <c r="I11" s="53"/>
    </row>
    <row r="12" spans="1:24">
      <c r="A12" s="11" t="s">
        <v>11</v>
      </c>
      <c r="B12" s="72"/>
      <c r="C12" s="29"/>
      <c r="D12" s="29"/>
      <c r="G12" s="208"/>
      <c r="H12" s="208"/>
      <c r="I12" s="208"/>
    </row>
    <row r="13" spans="1:24">
      <c r="A13" s="11" t="s">
        <v>12</v>
      </c>
      <c r="B13" s="72"/>
      <c r="C13" s="29"/>
      <c r="D13" s="126"/>
      <c r="G13" s="53"/>
      <c r="H13" s="53"/>
      <c r="I13" s="53"/>
      <c r="J13" s="53"/>
    </row>
    <row r="14" spans="1:24">
      <c r="A14" s="11" t="s">
        <v>13</v>
      </c>
      <c r="B14" s="126">
        <v>44413</v>
      </c>
      <c r="C14" s="88"/>
      <c r="D14" s="29"/>
      <c r="G14" s="206"/>
      <c r="H14" s="205"/>
      <c r="I14" s="53"/>
    </row>
    <row r="15" spans="1:24">
      <c r="A15" s="11" t="s">
        <v>14</v>
      </c>
      <c r="B15" s="85">
        <f>2021+(8-1)/12+(5-1)/365.24</f>
        <v>2021.5942850363231</v>
      </c>
      <c r="C15" s="87"/>
      <c r="D15" s="89" t="s">
        <v>15</v>
      </c>
      <c r="E15" s="89"/>
      <c r="F15" s="89"/>
      <c r="G15" s="206"/>
      <c r="H15" s="205"/>
      <c r="I15" s="53"/>
    </row>
    <row r="16" spans="1:24" ht="14.5">
      <c r="A16" s="11" t="s">
        <v>16</v>
      </c>
      <c r="B16" s="86">
        <v>10</v>
      </c>
      <c r="C16" s="209" t="s">
        <v>17</v>
      </c>
      <c r="D16" s="29"/>
      <c r="G16" s="206"/>
      <c r="H16" s="206"/>
      <c r="I16" s="53"/>
    </row>
    <row r="17" spans="1:22">
      <c r="A17" s="11" t="s">
        <v>18</v>
      </c>
      <c r="B17" s="86">
        <v>0.1</v>
      </c>
      <c r="D17" s="29"/>
    </row>
    <row r="18" spans="1:22" ht="15.5">
      <c r="A18" s="11" t="s">
        <v>19</v>
      </c>
      <c r="B18" s="72">
        <f>PI()*(B16/2)^2</f>
        <v>78.539816339744831</v>
      </c>
      <c r="D18" s="29"/>
    </row>
    <row r="19" spans="1:22">
      <c r="A19" s="11" t="s">
        <v>20</v>
      </c>
      <c r="B19" s="73">
        <f>PI()*B16*B17/2</f>
        <v>1.5707963267948966</v>
      </c>
      <c r="D19" s="29"/>
    </row>
    <row r="20" spans="1:22">
      <c r="A20" s="11" t="s">
        <v>21</v>
      </c>
      <c r="B20" s="102"/>
      <c r="D20" s="29"/>
    </row>
    <row r="21" spans="1:22" ht="15.5">
      <c r="D21" s="29"/>
      <c r="J21" s="115"/>
      <c r="K21" s="53"/>
      <c r="L21" s="53"/>
      <c r="P21" s="59"/>
    </row>
    <row r="22" spans="1:22" ht="15.5">
      <c r="A22" s="32" t="s">
        <v>22</v>
      </c>
      <c r="D22" s="29"/>
      <c r="J22" s="115"/>
      <c r="K22" s="53"/>
      <c r="L22" s="53"/>
      <c r="M22" s="39"/>
      <c r="O22" s="39"/>
      <c r="P22" s="60"/>
      <c r="Q22" s="39"/>
      <c r="R22" s="61"/>
      <c r="S22" s="39"/>
      <c r="T22" s="39"/>
      <c r="U22" s="39"/>
      <c r="V22" s="39"/>
    </row>
    <row r="23" spans="1:22" ht="16">
      <c r="A23" s="11" t="s">
        <v>23</v>
      </c>
      <c r="B23" s="29">
        <v>22.23</v>
      </c>
      <c r="C23" s="29" t="s">
        <v>24</v>
      </c>
      <c r="J23" s="115"/>
      <c r="K23" s="53"/>
      <c r="L23" s="53"/>
    </row>
    <row r="24" spans="1:22" ht="16">
      <c r="A24" s="11" t="s">
        <v>25</v>
      </c>
      <c r="B24" s="29">
        <v>0.12</v>
      </c>
      <c r="C24" s="30">
        <f>B24/B23*100</f>
        <v>0.53981106612685559</v>
      </c>
      <c r="D24" s="11" t="s">
        <v>26</v>
      </c>
      <c r="J24" s="115"/>
      <c r="K24" s="53"/>
      <c r="L24" s="53"/>
    </row>
    <row r="25" spans="1:22" ht="16">
      <c r="A25" s="11" t="s">
        <v>27</v>
      </c>
      <c r="B25" s="312">
        <f>LN(2)/B23</f>
        <v>3.1180709876740677E-2</v>
      </c>
      <c r="C25" s="30"/>
      <c r="J25" s="115"/>
      <c r="K25" s="53"/>
      <c r="L25" s="53"/>
    </row>
    <row r="26" spans="1:22" s="39" customFormat="1" ht="15.5">
      <c r="A26" s="14" t="s">
        <v>28</v>
      </c>
      <c r="B26" s="313">
        <f>B25*C24/100</f>
        <v>1.6831692241155559E-4</v>
      </c>
      <c r="C26" s="40">
        <f>B26/B25*100</f>
        <v>0.53981106612685548</v>
      </c>
      <c r="D26" s="22" t="s">
        <v>29</v>
      </c>
      <c r="J26" s="115"/>
      <c r="K26" s="53"/>
      <c r="L26" s="53"/>
      <c r="M26" s="11"/>
      <c r="N26" s="11"/>
      <c r="O26" s="21"/>
      <c r="P26" s="37"/>
      <c r="Q26" s="11"/>
      <c r="R26" s="11"/>
      <c r="S26" s="11"/>
      <c r="T26" s="11"/>
      <c r="U26" s="11"/>
      <c r="V26" s="11"/>
    </row>
    <row r="27" spans="1:22" ht="15.5">
      <c r="J27" s="53"/>
      <c r="K27" s="53"/>
      <c r="L27" s="53"/>
      <c r="O27" s="21"/>
      <c r="P27" s="37"/>
    </row>
    <row r="28" spans="1:22" ht="15.5">
      <c r="J28" s="115"/>
      <c r="K28" s="53"/>
      <c r="L28" s="53"/>
      <c r="O28" s="21"/>
      <c r="P28" s="37"/>
    </row>
    <row r="29" spans="1:22" ht="15.5">
      <c r="J29" s="115"/>
      <c r="K29" s="53"/>
      <c r="L29" s="53"/>
      <c r="O29" s="21"/>
      <c r="P29" s="37"/>
    </row>
    <row r="30" spans="1:22" ht="15.5">
      <c r="J30" s="115"/>
      <c r="K30" s="53"/>
      <c r="L30" s="53"/>
    </row>
    <row r="31" spans="1:22" ht="15.5">
      <c r="J31" s="115"/>
      <c r="K31" s="53"/>
      <c r="L31" s="53"/>
    </row>
    <row r="32" spans="1:22" ht="15.5">
      <c r="J32" s="115"/>
      <c r="K32" s="53"/>
      <c r="L32" s="53"/>
      <c r="P32" s="39"/>
    </row>
    <row r="33" spans="10:12" ht="15.5">
      <c r="J33" s="115"/>
      <c r="K33" s="53"/>
      <c r="L33" s="53"/>
    </row>
    <row r="34" spans="10:12" ht="15.5">
      <c r="J34" s="115"/>
      <c r="K34" s="53"/>
      <c r="L34" s="53"/>
    </row>
    <row r="35" spans="10:12" ht="15.5">
      <c r="J35" s="115"/>
      <c r="K35" s="53"/>
      <c r="L35" s="53"/>
    </row>
    <row r="36" spans="10:12" ht="15.5">
      <c r="J36" s="115"/>
      <c r="K36" s="53"/>
      <c r="L36" s="53"/>
    </row>
    <row r="37" spans="10:12" ht="15.5">
      <c r="J37" s="115"/>
      <c r="K37" s="53"/>
      <c r="L37" s="53"/>
    </row>
    <row r="38" spans="10:12" ht="15.5">
      <c r="J38" s="115"/>
      <c r="K38" s="53"/>
      <c r="L38" s="53"/>
    </row>
    <row r="39" spans="10:12" ht="15.5">
      <c r="J39" s="115"/>
      <c r="K39" s="53"/>
      <c r="L39" s="53"/>
    </row>
    <row r="40" spans="10:12" ht="15.5">
      <c r="J40" s="115"/>
      <c r="K40" s="53"/>
      <c r="L40" s="53"/>
    </row>
  </sheetData>
  <phoneticPr fontId="1" type="noConversion"/>
  <pageMargins left="1.28" right="0.7" top="0.75" bottom="0.75" header="0.5" footer="0.5"/>
  <pageSetup paperSize="9" orientation="portrait" horizontalDpi="300" verticalDpi="300" r:id="rId1"/>
  <headerFooter>
    <oddHeader>&amp;F</oddHeader>
    <oddFooter>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B130"/>
  <sheetViews>
    <sheetView zoomScale="83" zoomScaleNormal="83" zoomScaleSheetLayoutView="100" zoomScalePageLayoutView="125" workbookViewId="0">
      <selection activeCell="M29" sqref="M29"/>
    </sheetView>
  </sheetViews>
  <sheetFormatPr defaultColWidth="10.6328125" defaultRowHeight="13"/>
  <cols>
    <col min="1" max="2" width="10.6328125" style="46" customWidth="1"/>
    <col min="3" max="3" width="9.6328125" style="47" customWidth="1"/>
    <col min="4" max="6" width="10.6328125" style="46" customWidth="1"/>
    <col min="7" max="8" width="10.6328125" style="48" customWidth="1"/>
    <col min="9" max="12" width="9.6328125" style="47" customWidth="1"/>
    <col min="13" max="13" width="14.453125" style="46" customWidth="1"/>
    <col min="14" max="14" width="9.6328125" style="46" customWidth="1"/>
    <col min="15" max="15" width="10.6328125" style="46" customWidth="1"/>
    <col min="16" max="16" width="9.6328125" style="46" customWidth="1"/>
    <col min="17" max="17" width="10.6328125" style="46" customWidth="1"/>
    <col min="18" max="18" width="9.6328125" style="46" customWidth="1"/>
    <col min="19" max="19" width="10.6328125" style="46" customWidth="1"/>
    <col min="20" max="20" width="9.6328125" style="46" customWidth="1"/>
    <col min="21" max="21" width="10.6328125" style="46" customWidth="1"/>
    <col min="22" max="22" width="9.6328125" style="46" customWidth="1"/>
    <col min="23" max="16384" width="10.6328125" style="46"/>
  </cols>
  <sheetData>
    <row r="1" spans="1:28">
      <c r="E1" s="227" t="s">
        <v>30</v>
      </c>
      <c r="F1" s="242" t="s">
        <v>31</v>
      </c>
      <c r="H1" s="221"/>
      <c r="J1" s="222"/>
    </row>
    <row r="2" spans="1:28">
      <c r="D2" s="163"/>
      <c r="E2" s="214" t="s">
        <v>32</v>
      </c>
      <c r="F2" s="214"/>
      <c r="G2" s="221" t="s">
        <v>33</v>
      </c>
      <c r="I2" s="222" t="s">
        <v>34</v>
      </c>
    </row>
    <row r="3" spans="1:28" ht="12.75" customHeight="1">
      <c r="B3" s="46" t="s">
        <v>35</v>
      </c>
      <c r="C3" s="74"/>
      <c r="D3" s="46" t="s">
        <v>36</v>
      </c>
      <c r="E3" s="75" t="s">
        <v>37</v>
      </c>
      <c r="F3" s="75"/>
      <c r="G3" s="223" t="s">
        <v>38</v>
      </c>
      <c r="H3" s="75"/>
      <c r="I3" s="47" t="s">
        <v>39</v>
      </c>
      <c r="K3" s="76" t="s">
        <v>40</v>
      </c>
      <c r="L3" s="76"/>
    </row>
    <row r="4" spans="1:28" ht="12.75" customHeight="1">
      <c r="B4" s="46" t="s">
        <v>41</v>
      </c>
      <c r="C4" s="74" t="s">
        <v>42</v>
      </c>
      <c r="D4" s="46" t="s">
        <v>32</v>
      </c>
      <c r="E4" s="75" t="s">
        <v>43</v>
      </c>
      <c r="F4" s="75"/>
      <c r="G4" s="223" t="s">
        <v>44</v>
      </c>
      <c r="H4" s="75"/>
      <c r="I4" s="47" t="s">
        <v>45</v>
      </c>
      <c r="K4" s="76" t="s">
        <v>46</v>
      </c>
      <c r="L4" s="76"/>
    </row>
    <row r="5" spans="1:28" s="23" customFormat="1" ht="18" customHeight="1">
      <c r="A5" s="4" t="s">
        <v>47</v>
      </c>
      <c r="B5" s="4" t="s">
        <v>48</v>
      </c>
      <c r="C5" s="4" t="s">
        <v>49</v>
      </c>
      <c r="D5" s="4" t="s">
        <v>50</v>
      </c>
      <c r="E5" s="23" t="s">
        <v>51</v>
      </c>
      <c r="F5" s="4" t="s">
        <v>52</v>
      </c>
      <c r="G5" s="4" t="s">
        <v>53</v>
      </c>
      <c r="H5" s="328" t="s">
        <v>54</v>
      </c>
      <c r="I5" s="4" t="s">
        <v>55</v>
      </c>
      <c r="J5" s="328" t="s">
        <v>56</v>
      </c>
      <c r="K5" s="4" t="s">
        <v>57</v>
      </c>
      <c r="L5" s="328" t="s">
        <v>58</v>
      </c>
      <c r="O5" s="224"/>
    </row>
    <row r="6" spans="1:28" s="42" customFormat="1" ht="18" customHeight="1">
      <c r="B6" s="42" t="s">
        <v>59</v>
      </c>
      <c r="C6" s="215" t="s">
        <v>59</v>
      </c>
      <c r="D6" s="42" t="s">
        <v>59</v>
      </c>
      <c r="E6" s="216" t="s">
        <v>60</v>
      </c>
      <c r="F6" s="216"/>
      <c r="G6" s="216" t="s">
        <v>61</v>
      </c>
      <c r="H6" s="216"/>
      <c r="I6" s="215" t="s">
        <v>61</v>
      </c>
      <c r="J6" s="215"/>
      <c r="K6" s="215" t="s">
        <v>61</v>
      </c>
      <c r="L6" s="215"/>
      <c r="O6" s="228"/>
    </row>
    <row r="7" spans="1:28" ht="12.75" customHeight="1">
      <c r="A7" s="279"/>
      <c r="B7" s="253" t="s">
        <v>208</v>
      </c>
      <c r="C7" s="262"/>
      <c r="D7" s="254"/>
      <c r="E7" s="289"/>
      <c r="F7" s="289"/>
      <c r="G7" s="255"/>
      <c r="H7" s="255"/>
      <c r="I7" s="320">
        <v>0</v>
      </c>
      <c r="J7" s="320">
        <f>0</f>
        <v>0</v>
      </c>
      <c r="K7" s="257"/>
      <c r="L7" s="257"/>
      <c r="O7" s="53"/>
      <c r="P7" s="53"/>
      <c r="Q7" s="53"/>
      <c r="R7" s="53"/>
      <c r="S7" s="53"/>
    </row>
    <row r="8" spans="1:28" ht="12.75" customHeight="1">
      <c r="A8" s="280" t="s">
        <v>210</v>
      </c>
      <c r="B8" s="253"/>
      <c r="C8" s="263">
        <f>(B7+B9)/2</f>
        <v>0.5</v>
      </c>
      <c r="D8" s="258">
        <f>B9-B7</f>
        <v>1</v>
      </c>
      <c r="E8" s="290">
        <v>0.2261039229</v>
      </c>
      <c r="F8" s="291">
        <v>4.8459592111397597E-3</v>
      </c>
      <c r="G8" s="255">
        <f>D8*E8</f>
        <v>0.2261039229</v>
      </c>
      <c r="H8" s="333">
        <f>F8*D8</f>
        <v>4.8459592111397597E-3</v>
      </c>
      <c r="I8" s="256"/>
      <c r="J8" s="256"/>
      <c r="K8" s="255">
        <f>AVERAGE(I7:I9)</f>
        <v>0.11305196145</v>
      </c>
      <c r="L8" s="257">
        <f>SQRT(SUMSQ(J9,J7))/2</f>
        <v>2.4229796055698798E-3</v>
      </c>
      <c r="M8" s="246"/>
      <c r="O8" s="53"/>
      <c r="P8" s="53"/>
      <c r="Q8" s="53"/>
      <c r="R8" s="53"/>
      <c r="S8" s="53"/>
    </row>
    <row r="9" spans="1:28" ht="12.75" customHeight="1">
      <c r="A9" s="281"/>
      <c r="B9" s="253">
        <f xml:space="preserve"> B7+1</f>
        <v>1</v>
      </c>
      <c r="C9" s="263"/>
      <c r="D9" s="258"/>
      <c r="E9" s="290"/>
      <c r="F9" s="291"/>
      <c r="G9" s="255"/>
      <c r="H9" s="255"/>
      <c r="I9" s="256">
        <f>I7+(G8)</f>
        <v>0.2261039229</v>
      </c>
      <c r="J9" s="334">
        <f>SQRT(H8^2+J7^2)</f>
        <v>4.8459592111397597E-3</v>
      </c>
      <c r="K9" s="255"/>
      <c r="L9" s="257"/>
      <c r="M9" s="53"/>
      <c r="O9" s="53"/>
      <c r="P9" s="53"/>
      <c r="Q9" s="53"/>
      <c r="R9" s="53"/>
      <c r="S9" s="53"/>
    </row>
    <row r="10" spans="1:28" ht="12.75" customHeight="1">
      <c r="A10" s="282" t="s">
        <v>211</v>
      </c>
      <c r="B10" s="253"/>
      <c r="C10" s="263">
        <f>(B9+B11)/2</f>
        <v>1.5</v>
      </c>
      <c r="D10" s="258">
        <f>B11-B9</f>
        <v>1</v>
      </c>
      <c r="E10" s="290">
        <v>0.27468829319999999</v>
      </c>
      <c r="F10" s="291">
        <v>4.3206190488780626E-3</v>
      </c>
      <c r="G10" s="255">
        <f>D10*E10</f>
        <v>0.27468829319999999</v>
      </c>
      <c r="H10" s="333">
        <f t="shared" ref="H10" si="0">F10*D10</f>
        <v>4.3206190488780626E-3</v>
      </c>
      <c r="I10" s="256"/>
      <c r="J10" s="256"/>
      <c r="K10" s="255">
        <f>AVERAGE(I9:I11)</f>
        <v>0.36344806950000003</v>
      </c>
      <c r="L10" s="336">
        <f>SQRT(SUMSQ(J11,J9))/2</f>
        <v>4.0507527176312716E-3</v>
      </c>
      <c r="M10" s="246"/>
      <c r="O10" s="53"/>
      <c r="P10" s="53"/>
      <c r="Q10" s="53"/>
      <c r="R10" s="53"/>
      <c r="S10" s="53"/>
    </row>
    <row r="11" spans="1:28" ht="12.75" customHeight="1">
      <c r="A11" s="282"/>
      <c r="B11" s="253">
        <f t="shared" ref="B11" si="1" xml:space="preserve"> B9+1</f>
        <v>2</v>
      </c>
      <c r="C11" s="263"/>
      <c r="D11" s="258"/>
      <c r="E11" s="290"/>
      <c r="F11" s="291"/>
      <c r="G11" s="255"/>
      <c r="H11" s="255"/>
      <c r="I11" s="256">
        <f>I9+(G10)</f>
        <v>0.50079221610000002</v>
      </c>
      <c r="J11" s="334">
        <f t="shared" ref="J11" si="2">SQRT(H10^2+J9^2)</f>
        <v>6.4923855123951357E-3</v>
      </c>
      <c r="K11" s="255"/>
      <c r="L11" s="257"/>
      <c r="M11" s="53"/>
      <c r="O11" s="53"/>
      <c r="P11" s="53"/>
      <c r="Q11" s="53"/>
      <c r="R11" s="53"/>
      <c r="S11" s="53"/>
    </row>
    <row r="12" spans="1:28" ht="12.75" customHeight="1">
      <c r="A12" s="282" t="s">
        <v>212</v>
      </c>
      <c r="B12" s="253"/>
      <c r="C12" s="263">
        <f>(B11+B13)/2</f>
        <v>2.5</v>
      </c>
      <c r="D12" s="258">
        <f>B13-B11</f>
        <v>1</v>
      </c>
      <c r="E12" s="290">
        <v>0.28437783509999998</v>
      </c>
      <c r="F12" s="291">
        <v>4.6343252507580644E-3</v>
      </c>
      <c r="G12" s="255">
        <f>D12*E12</f>
        <v>0.28437783509999998</v>
      </c>
      <c r="H12" s="333">
        <f t="shared" ref="H12" si="3">F12*D12</f>
        <v>4.6343252507580644E-3</v>
      </c>
      <c r="I12" s="256"/>
      <c r="J12" s="256"/>
      <c r="K12" s="255">
        <f t="shared" ref="K12" si="4">AVERAGE(I11:I13)</f>
        <v>0.64298113364999998</v>
      </c>
      <c r="L12" s="257">
        <f t="shared" ref="L12" si="5">SQRT(SUMSQ(J13,J11))/2</f>
        <v>5.1424485853757036E-3</v>
      </c>
      <c r="M12" s="246"/>
      <c r="O12" s="53"/>
      <c r="P12" s="53"/>
      <c r="Q12" s="53"/>
      <c r="R12" s="53"/>
      <c r="S12" s="53"/>
      <c r="AB12" s="48"/>
    </row>
    <row r="13" spans="1:28" ht="12.75" customHeight="1">
      <c r="A13" s="282"/>
      <c r="B13" s="253">
        <f t="shared" ref="B13" si="6" xml:space="preserve"> B11+1</f>
        <v>3</v>
      </c>
      <c r="C13" s="263"/>
      <c r="D13" s="258"/>
      <c r="E13" s="290"/>
      <c r="F13" s="291"/>
      <c r="G13" s="255"/>
      <c r="H13" s="255"/>
      <c r="I13" s="256">
        <f>I11+(G12)</f>
        <v>0.78517005119999994</v>
      </c>
      <c r="J13" s="334">
        <f>SQRT(H12^2+J11^2)</f>
        <v>7.9767186343365562E-3</v>
      </c>
      <c r="K13" s="255"/>
      <c r="L13" s="257"/>
      <c r="M13" s="53"/>
      <c r="O13" s="53"/>
      <c r="P13" s="53"/>
      <c r="Q13" s="53"/>
      <c r="R13" s="53"/>
      <c r="S13" s="53"/>
      <c r="AB13" s="48"/>
    </row>
    <row r="14" spans="1:28" ht="12.75" customHeight="1">
      <c r="A14" s="282" t="s">
        <v>213</v>
      </c>
      <c r="B14" s="253"/>
      <c r="C14" s="263">
        <f>(B13+B15)/2</f>
        <v>3.5</v>
      </c>
      <c r="D14" s="258">
        <f>B15-B13</f>
        <v>1</v>
      </c>
      <c r="E14" s="290">
        <v>0.29235443179999998</v>
      </c>
      <c r="F14" s="291">
        <v>4.6709014365225168E-3</v>
      </c>
      <c r="G14" s="255">
        <f>D14*E14</f>
        <v>0.29235443179999998</v>
      </c>
      <c r="H14" s="333">
        <f t="shared" ref="H14" si="7">F14*D14</f>
        <v>4.6709014365225168E-3</v>
      </c>
      <c r="I14" s="256"/>
      <c r="J14" s="256"/>
      <c r="K14" s="255">
        <f t="shared" ref="K14" si="8">AVERAGE(I13:I15)</f>
        <v>0.93134726709999993</v>
      </c>
      <c r="L14" s="257">
        <f t="shared" ref="L14" si="9">SQRT(SUMSQ(J15,J13))/2</f>
        <v>6.1047809250711904E-3</v>
      </c>
      <c r="M14" s="246"/>
      <c r="O14" s="53"/>
      <c r="P14" s="53"/>
      <c r="Q14" s="53"/>
      <c r="R14" s="53"/>
      <c r="S14" s="53"/>
      <c r="AB14" s="48"/>
    </row>
    <row r="15" spans="1:28" ht="12.75" customHeight="1">
      <c r="A15" s="282"/>
      <c r="B15" s="253">
        <f t="shared" ref="B15" si="10" xml:space="preserve"> B13+1</f>
        <v>4</v>
      </c>
      <c r="C15" s="263"/>
      <c r="D15" s="258"/>
      <c r="E15" s="290"/>
      <c r="F15" s="291"/>
      <c r="G15" s="255"/>
      <c r="H15" s="255"/>
      <c r="I15" s="256">
        <f>I13+(G14)</f>
        <v>1.0775244829999999</v>
      </c>
      <c r="J15" s="334">
        <f t="shared" ref="J15" si="11">SQRT(H14^2+J13^2)</f>
        <v>9.2436659611368575E-3</v>
      </c>
      <c r="K15" s="255"/>
      <c r="L15" s="257"/>
      <c r="M15" s="53"/>
      <c r="O15" s="53"/>
      <c r="P15" s="53"/>
      <c r="Q15" s="53"/>
      <c r="R15" s="53"/>
      <c r="S15" s="53"/>
      <c r="AB15" s="48"/>
    </row>
    <row r="16" spans="1:28" ht="12.75" customHeight="1">
      <c r="A16" s="282" t="s">
        <v>214</v>
      </c>
      <c r="B16" s="253"/>
      <c r="C16" s="263">
        <f>(B15+B17)/2</f>
        <v>4.5</v>
      </c>
      <c r="D16" s="258">
        <f>B17-B15</f>
        <v>1</v>
      </c>
      <c r="E16" s="290">
        <v>0.29561971310000001</v>
      </c>
      <c r="F16" s="291">
        <v>4.63959658514291E-3</v>
      </c>
      <c r="G16" s="255">
        <f>D16*E16</f>
        <v>0.29561971310000001</v>
      </c>
      <c r="H16" s="333">
        <f t="shared" ref="H16" si="12">F16*D16</f>
        <v>4.63959658514291E-3</v>
      </c>
      <c r="I16" s="256"/>
      <c r="J16" s="256"/>
      <c r="K16" s="255">
        <f t="shared" ref="K16" si="13">AVERAGE(I15:I17)</f>
        <v>1.2253343395499998</v>
      </c>
      <c r="L16" s="257">
        <f t="shared" ref="L16" si="14">SQRT(SUMSQ(J17,J15))/2</f>
        <v>6.9357151267016104E-3</v>
      </c>
      <c r="M16" s="246"/>
      <c r="O16" s="53"/>
      <c r="P16" s="53"/>
      <c r="Q16" s="53"/>
      <c r="R16" s="53"/>
      <c r="S16" s="53"/>
      <c r="AB16" s="48"/>
    </row>
    <row r="17" spans="1:28" ht="12.75" customHeight="1">
      <c r="A17" s="282"/>
      <c r="B17" s="253">
        <f t="shared" ref="B17" si="15" xml:space="preserve"> B15+1</f>
        <v>5</v>
      </c>
      <c r="C17" s="263"/>
      <c r="D17" s="258"/>
      <c r="E17" s="290"/>
      <c r="F17" s="291"/>
      <c r="G17" s="255"/>
      <c r="H17" s="255"/>
      <c r="I17" s="256">
        <f>I15+(G16)</f>
        <v>1.3731441960999999</v>
      </c>
      <c r="J17" s="334">
        <f t="shared" ref="J17" si="16">SQRT(H16^2+J15^2)</f>
        <v>1.0342689054300623E-2</v>
      </c>
      <c r="K17" s="255"/>
      <c r="L17" s="257"/>
      <c r="M17" s="53"/>
      <c r="O17" s="53"/>
      <c r="P17" s="53"/>
      <c r="Q17" s="53"/>
      <c r="R17" s="53"/>
      <c r="S17" s="53"/>
      <c r="AB17" s="48"/>
    </row>
    <row r="18" spans="1:28" ht="12.75" customHeight="1">
      <c r="A18" s="282" t="s">
        <v>215</v>
      </c>
      <c r="B18" s="253"/>
      <c r="C18" s="263">
        <f>(B17+B19)/2</f>
        <v>5.5</v>
      </c>
      <c r="D18" s="258">
        <f>B19-B17</f>
        <v>1</v>
      </c>
      <c r="E18" s="290">
        <v>0.2947480327</v>
      </c>
      <c r="F18" s="291">
        <v>4.7632444767464529E-3</v>
      </c>
      <c r="G18" s="255">
        <f>D18*E18</f>
        <v>0.2947480327</v>
      </c>
      <c r="H18" s="333">
        <f t="shared" ref="H18" si="17">F18*D18</f>
        <v>4.7632444767464529E-3</v>
      </c>
      <c r="I18" s="256"/>
      <c r="J18" s="256"/>
      <c r="K18" s="255">
        <f t="shared" ref="K18" si="18">AVERAGE(I17:I19)</f>
        <v>1.5205182124499999</v>
      </c>
      <c r="L18" s="257">
        <f t="shared" ref="L18" si="19">SQRT(SUMSQ(J19,J17))/2</f>
        <v>7.6914064333702238E-3</v>
      </c>
      <c r="M18" s="246"/>
      <c r="O18" s="53"/>
      <c r="P18" s="53"/>
      <c r="Q18" s="53"/>
      <c r="R18" s="53"/>
      <c r="S18" s="53"/>
      <c r="AB18" s="48"/>
    </row>
    <row r="19" spans="1:28" ht="12.75" customHeight="1">
      <c r="A19" s="282"/>
      <c r="B19" s="253">
        <f t="shared" ref="B19" si="20" xml:space="preserve"> B17+1</f>
        <v>6</v>
      </c>
      <c r="C19" s="263"/>
      <c r="D19" s="258"/>
      <c r="E19" s="290"/>
      <c r="F19" s="291"/>
      <c r="G19" s="255"/>
      <c r="H19" s="255"/>
      <c r="I19" s="256">
        <f>I17+(G18)</f>
        <v>1.6678922288</v>
      </c>
      <c r="J19" s="334">
        <f t="shared" ref="J19" si="21">SQRT(H18^2+J17^2)</f>
        <v>1.138682198065841E-2</v>
      </c>
      <c r="K19" s="255"/>
      <c r="L19" s="257"/>
      <c r="M19" s="53"/>
      <c r="O19" s="53"/>
      <c r="P19" s="53"/>
      <c r="Q19" s="53"/>
      <c r="R19" s="53"/>
      <c r="S19" s="53"/>
      <c r="AB19" s="48"/>
    </row>
    <row r="20" spans="1:28" ht="12.75" customHeight="1">
      <c r="A20" s="282" t="s">
        <v>216</v>
      </c>
      <c r="B20" s="253"/>
      <c r="C20" s="263">
        <f>(B19+B21)/2</f>
        <v>6.5</v>
      </c>
      <c r="D20" s="258">
        <f>B21-B19</f>
        <v>1</v>
      </c>
      <c r="E20" s="290">
        <v>0.28910410730000002</v>
      </c>
      <c r="F20" s="291">
        <v>4.8555386135566304E-3</v>
      </c>
      <c r="G20" s="255">
        <f>D20*E20</f>
        <v>0.28910410730000002</v>
      </c>
      <c r="H20" s="333">
        <f t="shared" ref="H20" si="22">F20*D20</f>
        <v>4.8555386135566304E-3</v>
      </c>
      <c r="I20" s="256"/>
      <c r="J20" s="256"/>
      <c r="K20" s="255">
        <f t="shared" ref="K20" si="23">AVERAGE(I19:I21)</f>
        <v>1.81244428245</v>
      </c>
      <c r="L20" s="257">
        <f t="shared" ref="L20" si="24">SQRT(SUMSQ(J21,J19))/2</f>
        <v>8.409751554982919E-3</v>
      </c>
      <c r="M20" s="246"/>
      <c r="O20" s="53"/>
      <c r="P20" s="53"/>
      <c r="Q20" s="53"/>
      <c r="R20" s="53"/>
      <c r="S20" s="53"/>
      <c r="AB20" s="48"/>
    </row>
    <row r="21" spans="1:28" ht="12.75" customHeight="1">
      <c r="A21" s="282"/>
      <c r="B21" s="253">
        <f t="shared" ref="B21" si="25" xml:space="preserve"> B19+1</f>
        <v>7</v>
      </c>
      <c r="C21" s="263"/>
      <c r="D21" s="258"/>
      <c r="E21" s="290"/>
      <c r="F21" s="291"/>
      <c r="G21" s="255"/>
      <c r="H21" s="255"/>
      <c r="I21" s="256">
        <f>I19+(G20)</f>
        <v>1.9569963361</v>
      </c>
      <c r="J21" s="334">
        <f t="shared" ref="J21" si="26">SQRT(H20^2+J19^2)</f>
        <v>1.2378851725703195E-2</v>
      </c>
      <c r="K21" s="255"/>
      <c r="L21" s="257"/>
      <c r="M21" s="53"/>
      <c r="O21" s="53"/>
      <c r="P21" s="53"/>
      <c r="Q21" s="53"/>
      <c r="R21" s="53"/>
      <c r="S21" s="53"/>
      <c r="AB21" s="48"/>
    </row>
    <row r="22" spans="1:28" ht="12.75" customHeight="1">
      <c r="A22" s="282" t="s">
        <v>217</v>
      </c>
      <c r="B22" s="253"/>
      <c r="C22" s="263">
        <f>(B21+B23)/2</f>
        <v>7.5</v>
      </c>
      <c r="D22" s="258">
        <f>B23-B21</f>
        <v>1</v>
      </c>
      <c r="E22" s="290">
        <v>0.28271772579999999</v>
      </c>
      <c r="F22" s="291">
        <v>4.8802340691447548E-3</v>
      </c>
      <c r="G22" s="255">
        <f>D22*E22</f>
        <v>0.28271772579999999</v>
      </c>
      <c r="H22" s="333">
        <f t="shared" ref="H22" si="27">F22*D22</f>
        <v>4.8802340691447548E-3</v>
      </c>
      <c r="I22" s="256"/>
      <c r="J22" s="256"/>
      <c r="K22" s="255">
        <f t="shared" ref="K22" si="28">AVERAGE(I21:I23)</f>
        <v>2.0983551990000002</v>
      </c>
      <c r="L22" s="257">
        <f t="shared" ref="L22" si="29">SQRT(SUMSQ(J23,J21))/2</f>
        <v>9.086922260363119E-3</v>
      </c>
      <c r="M22" s="246"/>
      <c r="O22" s="53"/>
      <c r="P22" s="53"/>
      <c r="Q22" s="53"/>
      <c r="R22" s="53"/>
      <c r="S22" s="53"/>
      <c r="AB22" s="48"/>
    </row>
    <row r="23" spans="1:28" ht="12.75" customHeight="1">
      <c r="A23" s="282"/>
      <c r="B23" s="253">
        <f t="shared" ref="B23" si="30" xml:space="preserve"> B21+1</f>
        <v>8</v>
      </c>
      <c r="C23" s="263"/>
      <c r="D23" s="258"/>
      <c r="E23" s="290"/>
      <c r="F23" s="291"/>
      <c r="G23" s="255"/>
      <c r="H23" s="255"/>
      <c r="I23" s="256">
        <f>I21+(G22)</f>
        <v>2.2397140619</v>
      </c>
      <c r="J23" s="334">
        <f t="shared" ref="J23" si="31">SQRT(H22^2+J21^2)</f>
        <v>1.3306113430171341E-2</v>
      </c>
      <c r="K23" s="255"/>
      <c r="L23" s="257"/>
      <c r="M23" s="53"/>
      <c r="O23" s="53"/>
      <c r="P23" s="53"/>
      <c r="Q23" s="53"/>
      <c r="R23" s="53"/>
      <c r="S23" s="53"/>
      <c r="AB23" s="48"/>
    </row>
    <row r="24" spans="1:28" ht="12.75" customHeight="1">
      <c r="A24" s="282" t="s">
        <v>218</v>
      </c>
      <c r="B24" s="253"/>
      <c r="C24" s="263">
        <f>(B23+B25)/2</f>
        <v>8.5</v>
      </c>
      <c r="D24" s="258">
        <f>B25-B23</f>
        <v>1</v>
      </c>
      <c r="E24" s="290">
        <v>0.28351579399999999</v>
      </c>
      <c r="F24" s="291">
        <v>4.8909501903192307E-3</v>
      </c>
      <c r="G24" s="255">
        <f>D24*E24</f>
        <v>0.28351579399999999</v>
      </c>
      <c r="H24" s="333">
        <f t="shared" ref="H24" si="32">F24*D24</f>
        <v>4.8909501903192307E-3</v>
      </c>
      <c r="I24" s="256"/>
      <c r="J24" s="256"/>
      <c r="K24" s="255">
        <f t="shared" ref="K24" si="33">AVERAGE(I23:I25)</f>
        <v>2.3814719588999997</v>
      </c>
      <c r="L24" s="257">
        <f t="shared" ref="L24" si="34">SQRT(SUMSQ(J25,J23))/2</f>
        <v>9.7214544050434649E-3</v>
      </c>
      <c r="M24" s="332"/>
      <c r="O24" s="53"/>
      <c r="P24" s="53"/>
      <c r="Q24" s="53"/>
      <c r="R24" s="53"/>
      <c r="S24" s="53"/>
      <c r="AB24" s="48"/>
    </row>
    <row r="25" spans="1:28" ht="12.75" customHeight="1">
      <c r="A25" s="282"/>
      <c r="B25" s="253">
        <f t="shared" ref="B25" si="35" xml:space="preserve"> B23+1</f>
        <v>9</v>
      </c>
      <c r="C25" s="263"/>
      <c r="D25" s="258"/>
      <c r="E25" s="290"/>
      <c r="F25" s="291"/>
      <c r="G25" s="255"/>
      <c r="H25" s="255"/>
      <c r="I25" s="256">
        <f>I23+(G24)</f>
        <v>2.5232298558999999</v>
      </c>
      <c r="J25" s="334">
        <f t="shared" ref="J25" si="36">SQRT(H24^2+J23^2)</f>
        <v>1.4176531606171159E-2</v>
      </c>
      <c r="K25" s="255"/>
      <c r="L25" s="257"/>
      <c r="M25" s="53"/>
      <c r="O25" s="53"/>
      <c r="P25" s="53"/>
      <c r="Q25" s="53"/>
      <c r="R25" s="53"/>
      <c r="S25" s="53"/>
      <c r="AB25" s="48"/>
    </row>
    <row r="26" spans="1:28" ht="12.75" customHeight="1">
      <c r="A26" s="282" t="s">
        <v>219</v>
      </c>
      <c r="B26" s="253"/>
      <c r="C26" s="263">
        <f>(B25+B27)/2</f>
        <v>9.5</v>
      </c>
      <c r="D26" s="258">
        <f>B27-B25</f>
        <v>1</v>
      </c>
      <c r="E26" s="290">
        <v>0.26401400180000001</v>
      </c>
      <c r="F26" s="291">
        <v>4.8692259510596005E-3</v>
      </c>
      <c r="G26" s="255">
        <f>D26*E26</f>
        <v>0.26401400180000001</v>
      </c>
      <c r="H26" s="333">
        <f t="shared" ref="H26" si="37">F26*D26</f>
        <v>4.8692259510596005E-3</v>
      </c>
      <c r="I26" s="256"/>
      <c r="J26" s="256"/>
      <c r="K26" s="255">
        <f t="shared" ref="K26" si="38">AVERAGE(I25:I27)</f>
        <v>2.6552368568000002</v>
      </c>
      <c r="L26" s="257">
        <f t="shared" ref="L26" si="39">SQRT(SUMSQ(J27,J25))/2</f>
        <v>1.0315733833858014E-2</v>
      </c>
      <c r="M26" s="246"/>
      <c r="O26" s="53"/>
      <c r="P26" s="53"/>
      <c r="Q26" s="53"/>
      <c r="R26" s="53"/>
      <c r="S26" s="53"/>
      <c r="AB26" s="48"/>
    </row>
    <row r="27" spans="1:28" ht="12.75" customHeight="1">
      <c r="A27" s="282"/>
      <c r="B27" s="253">
        <f t="shared" ref="B27" si="40" xml:space="preserve"> B25+1</f>
        <v>10</v>
      </c>
      <c r="C27" s="263"/>
      <c r="D27" s="258"/>
      <c r="E27" s="290"/>
      <c r="F27" s="291"/>
      <c r="G27" s="255"/>
      <c r="H27" s="255"/>
      <c r="I27" s="256">
        <f>I25+(G26)</f>
        <v>2.7872438577</v>
      </c>
      <c r="J27" s="334">
        <f t="shared" ref="J27" si="41">SQRT(H26^2+J25^2)</f>
        <v>1.4989443276627792E-2</v>
      </c>
      <c r="K27" s="255"/>
      <c r="L27" s="257"/>
      <c r="M27" s="53"/>
      <c r="N27" s="49"/>
      <c r="O27" s="53"/>
      <c r="P27" s="53"/>
      <c r="Q27" s="53"/>
      <c r="R27" s="53"/>
      <c r="S27" s="53"/>
      <c r="AB27" s="48"/>
    </row>
    <row r="28" spans="1:28" ht="12.75" customHeight="1">
      <c r="A28" s="282" t="s">
        <v>220</v>
      </c>
      <c r="B28" s="253"/>
      <c r="C28" s="263">
        <f>(B27+B29)/2</f>
        <v>10.5</v>
      </c>
      <c r="D28" s="258">
        <f>B29-B27</f>
        <v>1</v>
      </c>
      <c r="E28" s="290">
        <v>0.26920853119999999</v>
      </c>
      <c r="F28" s="291">
        <v>4.8821689189388401E-3</v>
      </c>
      <c r="G28" s="255">
        <f>D28*E28</f>
        <v>0.26920853119999999</v>
      </c>
      <c r="H28" s="333">
        <f t="shared" ref="H28" si="42">F28*D28</f>
        <v>4.8821689189388401E-3</v>
      </c>
      <c r="I28" s="256"/>
      <c r="J28" s="256"/>
      <c r="K28" s="255">
        <f t="shared" ref="K28" si="43">AVERAGE(I27:I29)</f>
        <v>2.9218481233000002</v>
      </c>
      <c r="L28" s="257">
        <f t="shared" ref="L28" si="44">SQRT(SUMSQ(J29,J27))/2</f>
        <v>1.0876607844814678E-2</v>
      </c>
      <c r="M28" s="246"/>
      <c r="O28" s="53"/>
      <c r="P28" s="53"/>
      <c r="Q28" s="53"/>
      <c r="R28" s="53"/>
      <c r="S28" s="53"/>
      <c r="AB28" s="48"/>
    </row>
    <row r="29" spans="1:28" ht="12.75" customHeight="1">
      <c r="A29" s="282"/>
      <c r="B29" s="253">
        <f t="shared" ref="B29" si="45" xml:space="preserve"> B27+1</f>
        <v>11</v>
      </c>
      <c r="C29" s="263"/>
      <c r="D29" s="258"/>
      <c r="E29" s="290"/>
      <c r="F29" s="291"/>
      <c r="G29" s="255"/>
      <c r="H29" s="255"/>
      <c r="I29" s="256">
        <f>I27+(G28)</f>
        <v>3.0564523888999999</v>
      </c>
      <c r="J29" s="334">
        <f t="shared" ref="J29" si="46">SQRT(H28^2+J27^2)</f>
        <v>1.5764484866188765E-2</v>
      </c>
      <c r="K29" s="255"/>
      <c r="L29" s="257"/>
      <c r="M29" s="53"/>
      <c r="O29" s="53"/>
      <c r="P29" s="53"/>
      <c r="Q29" s="53"/>
      <c r="R29" s="53"/>
      <c r="S29" s="53"/>
      <c r="AB29" s="48"/>
    </row>
    <row r="30" spans="1:28" ht="12.75" customHeight="1">
      <c r="A30" s="282" t="s">
        <v>221</v>
      </c>
      <c r="B30" s="253"/>
      <c r="C30" s="263">
        <f>(B29+B31)/2</f>
        <v>11.5</v>
      </c>
      <c r="D30" s="258">
        <f>B31-B29</f>
        <v>1</v>
      </c>
      <c r="E30" s="290">
        <v>0.25316298570000001</v>
      </c>
      <c r="F30" s="291">
        <v>4.9572736488708883E-3</v>
      </c>
      <c r="G30" s="255">
        <f>D30*E30</f>
        <v>0.25316298570000001</v>
      </c>
      <c r="H30" s="333">
        <f t="shared" ref="H30" si="47">F30*D30</f>
        <v>4.9572736488708883E-3</v>
      </c>
      <c r="I30" s="256"/>
      <c r="J30" s="256"/>
      <c r="K30" s="255">
        <f t="shared" ref="K30" si="48">AVERAGE(I29:I31)</f>
        <v>3.1830338817500001</v>
      </c>
      <c r="L30" s="257">
        <f t="shared" ref="L30" si="49">SQRT(SUMSQ(J31,J29))/2</f>
        <v>1.141941907697562E-2</v>
      </c>
      <c r="M30" s="246"/>
      <c r="O30" s="53"/>
      <c r="P30" s="53"/>
      <c r="Q30" s="53"/>
      <c r="R30" s="53"/>
      <c r="S30" s="53"/>
      <c r="AB30" s="48"/>
    </row>
    <row r="31" spans="1:28" ht="12.75" customHeight="1">
      <c r="A31" s="282"/>
      <c r="B31" s="253">
        <f t="shared" ref="B31" si="50" xml:space="preserve"> B29+1</f>
        <v>12</v>
      </c>
      <c r="C31" s="263"/>
      <c r="D31" s="258"/>
      <c r="E31" s="290"/>
      <c r="F31" s="291"/>
      <c r="G31" s="255"/>
      <c r="H31" s="255"/>
      <c r="I31" s="256">
        <f>I29+(G30)</f>
        <v>3.3096153745999999</v>
      </c>
      <c r="J31" s="334">
        <f t="shared" ref="J31" si="51">SQRT(H30^2+J29^2)</f>
        <v>1.6525542203694385E-2</v>
      </c>
      <c r="K31" s="255"/>
      <c r="L31" s="257"/>
      <c r="M31" s="53"/>
      <c r="O31" s="53"/>
      <c r="P31" s="53"/>
      <c r="Q31" s="53"/>
      <c r="R31" s="53"/>
      <c r="S31" s="53"/>
      <c r="AB31" s="48"/>
    </row>
    <row r="32" spans="1:28" ht="12.75" customHeight="1">
      <c r="A32" s="282" t="s">
        <v>222</v>
      </c>
      <c r="B32" s="253"/>
      <c r="C32" s="263">
        <f>(B31+B33)/2</f>
        <v>12.5</v>
      </c>
      <c r="D32" s="258">
        <f>B33-B31</f>
        <v>1</v>
      </c>
      <c r="E32" s="290">
        <v>0.2693093553</v>
      </c>
      <c r="F32" s="291">
        <v>5.0148835254777129E-3</v>
      </c>
      <c r="G32" s="255">
        <f>D32*E32</f>
        <v>0.2693093553</v>
      </c>
      <c r="H32" s="333">
        <f t="shared" ref="H32" si="52">F32*D32</f>
        <v>5.0148835254777129E-3</v>
      </c>
      <c r="I32" s="256"/>
      <c r="J32" s="256"/>
      <c r="K32" s="255">
        <f t="shared" ref="K32" si="53">AVERAGE(I31:I33)</f>
        <v>3.4442700522499998</v>
      </c>
      <c r="L32" s="257">
        <f t="shared" ref="L32" si="54">SQRT(SUMSQ(J33,J31))/2</f>
        <v>1.1951319456719792E-2</v>
      </c>
      <c r="M32" s="246"/>
      <c r="O32" s="53"/>
      <c r="P32" s="53"/>
      <c r="Q32" s="53"/>
      <c r="R32" s="53"/>
      <c r="S32" s="53"/>
      <c r="AB32" s="48"/>
    </row>
    <row r="33" spans="1:28" ht="12.75" customHeight="1">
      <c r="A33" s="282"/>
      <c r="B33" s="253">
        <f t="shared" ref="B33" si="55" xml:space="preserve"> B31+1</f>
        <v>13</v>
      </c>
      <c r="C33" s="263"/>
      <c r="D33" s="258"/>
      <c r="E33" s="290"/>
      <c r="F33" s="291"/>
      <c r="G33" s="255"/>
      <c r="H33" s="255"/>
      <c r="I33" s="256">
        <f>I31+(G32)</f>
        <v>3.5789247298999998</v>
      </c>
      <c r="J33" s="334">
        <f t="shared" ref="J33" si="56">SQRT(H32^2+J31^2)</f>
        <v>1.7269701847460833E-2</v>
      </c>
      <c r="K33" s="255"/>
      <c r="L33" s="257"/>
      <c r="M33" s="53"/>
      <c r="O33" s="110"/>
      <c r="P33" s="110"/>
      <c r="Q33" s="110"/>
      <c r="R33" s="53"/>
      <c r="S33" s="53"/>
      <c r="AB33" s="48"/>
    </row>
    <row r="34" spans="1:28" ht="12.75" customHeight="1">
      <c r="A34" s="282" t="s">
        <v>223</v>
      </c>
      <c r="B34" s="253"/>
      <c r="C34" s="263">
        <f>(B33+B35)/2</f>
        <v>13.5</v>
      </c>
      <c r="D34" s="258">
        <f>B35-B33</f>
        <v>1</v>
      </c>
      <c r="E34" s="290">
        <v>0.26964695129999999</v>
      </c>
      <c r="F34" s="291">
        <v>4.5945120136585103E-3</v>
      </c>
      <c r="G34" s="255">
        <f>D34*E34</f>
        <v>0.26964695129999999</v>
      </c>
      <c r="H34" s="333">
        <f t="shared" ref="H34" si="57">F34*D34</f>
        <v>4.5945120136585103E-3</v>
      </c>
      <c r="I34" s="256"/>
      <c r="J34" s="256"/>
      <c r="K34" s="255">
        <f t="shared" ref="K34" si="58">AVERAGE(I33:I35)</f>
        <v>3.71374820555</v>
      </c>
      <c r="L34" s="257">
        <f t="shared" ref="L34" si="59">SQRT(SUMSQ(J35,J33))/2</f>
        <v>1.2425726784015861E-2</v>
      </c>
      <c r="M34" s="246"/>
      <c r="O34" s="110"/>
      <c r="P34" s="110"/>
      <c r="Q34" s="110"/>
      <c r="R34" s="53"/>
      <c r="S34" s="53"/>
      <c r="AB34" s="48"/>
    </row>
    <row r="35" spans="1:28" ht="12.75" customHeight="1">
      <c r="A35" s="282"/>
      <c r="B35" s="253">
        <f t="shared" ref="B35" si="60" xml:space="preserve"> B33+1</f>
        <v>14</v>
      </c>
      <c r="C35" s="263"/>
      <c r="D35" s="258"/>
      <c r="E35" s="290"/>
      <c r="F35" s="291"/>
      <c r="G35" s="255"/>
      <c r="H35" s="255"/>
      <c r="I35" s="256">
        <f>I33+(G34)</f>
        <v>3.8485716811999997</v>
      </c>
      <c r="J35" s="334">
        <f t="shared" ref="J35" si="61">SQRT(H34^2+J33^2)</f>
        <v>1.7870426479069952E-2</v>
      </c>
      <c r="K35" s="255"/>
      <c r="L35" s="257"/>
      <c r="M35" s="53"/>
      <c r="O35" s="53"/>
      <c r="P35" s="53"/>
      <c r="Q35" s="53"/>
      <c r="R35" s="53"/>
      <c r="S35" s="53"/>
      <c r="AB35" s="48"/>
    </row>
    <row r="36" spans="1:28" ht="12.75" customHeight="1">
      <c r="A36" s="282" t="s">
        <v>224</v>
      </c>
      <c r="B36" s="253"/>
      <c r="C36" s="263">
        <f>(B35+B37)/2</f>
        <v>14.5</v>
      </c>
      <c r="D36" s="258">
        <f>B37-B35</f>
        <v>1</v>
      </c>
      <c r="E36" s="290">
        <v>0.27456195960000002</v>
      </c>
      <c r="F36" s="291">
        <v>4.251428207853041E-3</v>
      </c>
      <c r="G36" s="255">
        <f>D36*E36</f>
        <v>0.27456195960000002</v>
      </c>
      <c r="H36" s="333">
        <f t="shared" ref="H36" si="62">F36*D36</f>
        <v>4.251428207853041E-3</v>
      </c>
      <c r="I36" s="256"/>
      <c r="J36" s="256"/>
      <c r="K36" s="255">
        <f t="shared" ref="K36" si="63">AVERAGE(I35:I37)</f>
        <v>3.985852661</v>
      </c>
      <c r="L36" s="257">
        <f t="shared" ref="L36" si="64">SQRT(SUMSQ(J37,J35))/2</f>
        <v>1.2813849215733513E-2</v>
      </c>
      <c r="M36" s="246"/>
      <c r="O36" s="53"/>
      <c r="P36" s="53"/>
      <c r="Q36" s="53"/>
      <c r="R36" s="53"/>
      <c r="S36" s="53"/>
      <c r="AB36" s="48"/>
    </row>
    <row r="37" spans="1:28" ht="12.75" customHeight="1">
      <c r="A37" s="282"/>
      <c r="B37" s="253">
        <f t="shared" ref="B37" si="65" xml:space="preserve"> B35+1</f>
        <v>15</v>
      </c>
      <c r="C37" s="263"/>
      <c r="D37" s="258"/>
      <c r="E37" s="290"/>
      <c r="F37" s="291"/>
      <c r="G37" s="255"/>
      <c r="H37" s="255"/>
      <c r="I37" s="256">
        <f>I35+(G36)</f>
        <v>4.1231336407999999</v>
      </c>
      <c r="J37" s="334">
        <f t="shared" ref="J37" si="66">SQRT(H36^2+J35^2)</f>
        <v>1.8369180285205244E-2</v>
      </c>
      <c r="K37" s="255"/>
      <c r="L37" s="257"/>
      <c r="M37" s="53"/>
      <c r="O37" s="53"/>
      <c r="P37" s="53"/>
      <c r="Q37" s="53"/>
      <c r="R37" s="53"/>
      <c r="S37" s="53"/>
      <c r="AB37" s="48"/>
    </row>
    <row r="38" spans="1:28" ht="12.75" customHeight="1">
      <c r="A38" s="282" t="s">
        <v>225</v>
      </c>
      <c r="B38" s="253"/>
      <c r="C38" s="263">
        <f t="shared" ref="C38" si="67">(B37+B39)/2</f>
        <v>15.5</v>
      </c>
      <c r="D38" s="258">
        <f t="shared" ref="D38" si="68">B39-B37</f>
        <v>1</v>
      </c>
      <c r="E38" s="290">
        <v>0.26741338619999999</v>
      </c>
      <c r="F38" s="291">
        <v>4.7609661822266549E-3</v>
      </c>
      <c r="G38" s="255">
        <f t="shared" ref="G38" si="69">D38*E38</f>
        <v>0.26741338619999999</v>
      </c>
      <c r="H38" s="333">
        <f t="shared" ref="H38" si="70">F38*D38</f>
        <v>4.7609661822266549E-3</v>
      </c>
      <c r="I38" s="256"/>
      <c r="J38" s="256"/>
      <c r="K38" s="255">
        <f t="shared" ref="K38" si="71">AVERAGE(I37:I39)</f>
        <v>4.2568403338999996</v>
      </c>
      <c r="L38" s="257">
        <f t="shared" ref="L38" si="72">SQRT(SUMSQ(J39,J37))/2</f>
        <v>1.3205305446004002E-2</v>
      </c>
      <c r="M38" s="246"/>
      <c r="O38" s="53"/>
      <c r="P38" s="53"/>
      <c r="Q38" s="53"/>
      <c r="R38" s="53"/>
      <c r="S38" s="53"/>
      <c r="AB38" s="48"/>
    </row>
    <row r="39" spans="1:28" ht="12.75" customHeight="1">
      <c r="A39" s="282"/>
      <c r="B39" s="253">
        <f t="shared" ref="B39" si="73" xml:space="preserve"> B37+1</f>
        <v>16</v>
      </c>
      <c r="C39" s="263"/>
      <c r="D39" s="258"/>
      <c r="E39" s="290"/>
      <c r="F39" s="291"/>
      <c r="G39" s="255"/>
      <c r="H39" s="255"/>
      <c r="I39" s="256">
        <f t="shared" ref="I39" si="74">I37+(G38)</f>
        <v>4.3905470270000002</v>
      </c>
      <c r="J39" s="334">
        <f t="shared" ref="J39" si="75">SQRT(H38^2+J37^2)</f>
        <v>1.8976131938271266E-2</v>
      </c>
      <c r="K39" s="255"/>
      <c r="L39" s="257"/>
      <c r="M39" s="53"/>
      <c r="O39" s="53"/>
      <c r="P39" s="53"/>
      <c r="Q39" s="53"/>
      <c r="S39" s="53"/>
      <c r="AB39" s="48"/>
    </row>
    <row r="40" spans="1:28" ht="12.75" customHeight="1">
      <c r="A40" s="282" t="s">
        <v>226</v>
      </c>
      <c r="B40" s="253"/>
      <c r="C40" s="263">
        <f t="shared" ref="C40" si="76">(B39+B41)/2</f>
        <v>16.5</v>
      </c>
      <c r="D40" s="258">
        <f t="shared" ref="D40" si="77">B41-B39</f>
        <v>1</v>
      </c>
      <c r="E40" s="290">
        <v>0.27017934910000002</v>
      </c>
      <c r="F40" s="291">
        <v>5.065843245501845E-3</v>
      </c>
      <c r="G40" s="255">
        <f t="shared" ref="G40" si="78">D40*E40</f>
        <v>0.27017934910000002</v>
      </c>
      <c r="H40" s="333">
        <f t="shared" ref="H40" si="79">F40*D40</f>
        <v>5.065843245501845E-3</v>
      </c>
      <c r="I40" s="256"/>
      <c r="J40" s="256"/>
      <c r="K40" s="255">
        <f t="shared" ref="K40" si="80">AVERAGE(I39:I41)</f>
        <v>4.5256367015500008</v>
      </c>
      <c r="L40" s="257">
        <f t="shared" ref="L40" si="81">SQRT(SUMSQ(J41,J39))/2</f>
        <v>1.365512664226658E-2</v>
      </c>
      <c r="M40" s="246"/>
      <c r="O40" s="53"/>
      <c r="P40" s="53"/>
      <c r="Q40" s="53"/>
      <c r="S40" s="53"/>
      <c r="AB40" s="48"/>
    </row>
    <row r="41" spans="1:28" ht="12.75" customHeight="1">
      <c r="A41" s="282"/>
      <c r="B41" s="253">
        <f t="shared" ref="B41" si="82" xml:space="preserve"> B39+1</f>
        <v>17</v>
      </c>
      <c r="C41" s="263"/>
      <c r="D41" s="258"/>
      <c r="E41" s="290"/>
      <c r="F41" s="291"/>
      <c r="G41" s="255"/>
      <c r="H41" s="255"/>
      <c r="I41" s="256">
        <f t="shared" ref="I41" si="83">I39+(G40)</f>
        <v>4.6607263761000004</v>
      </c>
      <c r="J41" s="334">
        <f t="shared" ref="J41" si="84">SQRT(H40^2+J39^2)</f>
        <v>1.9640681025022415E-2</v>
      </c>
      <c r="K41" s="255"/>
      <c r="L41" s="257"/>
      <c r="M41" s="53"/>
      <c r="O41" s="53"/>
      <c r="P41" s="53"/>
      <c r="Q41" s="53"/>
      <c r="S41" s="53"/>
      <c r="AB41" s="48"/>
    </row>
    <row r="42" spans="1:28" ht="12.75" customHeight="1">
      <c r="A42" s="282" t="s">
        <v>227</v>
      </c>
      <c r="B42" s="253"/>
      <c r="C42" s="263">
        <f t="shared" ref="C42" si="85">(B41+B43)/2</f>
        <v>17.5</v>
      </c>
      <c r="D42" s="258">
        <f t="shared" ref="D42" si="86">B43-B41</f>
        <v>1</v>
      </c>
      <c r="E42" s="290">
        <v>0.27144589120000001</v>
      </c>
      <c r="F42" s="291">
        <v>5.0736473966328365E-3</v>
      </c>
      <c r="G42" s="255">
        <f t="shared" ref="G42" si="87">D42*E42</f>
        <v>0.27144589120000001</v>
      </c>
      <c r="H42" s="333">
        <f t="shared" ref="H42" si="88">F42*D42</f>
        <v>5.0736473966328365E-3</v>
      </c>
      <c r="I42" s="256"/>
      <c r="J42" s="256"/>
      <c r="K42" s="255">
        <f t="shared" ref="K42" si="89">AVERAGE(I41:I43)</f>
        <v>4.7964493217000008</v>
      </c>
      <c r="L42" s="257">
        <f t="shared" ref="L42" si="90">SQRT(SUMSQ(J43,J41))/2</f>
        <v>1.4117848633544617E-2</v>
      </c>
      <c r="M42" s="246"/>
      <c r="O42" s="53"/>
      <c r="P42" s="53"/>
      <c r="Q42" s="53"/>
      <c r="S42" s="53"/>
      <c r="AB42" s="48"/>
    </row>
    <row r="43" spans="1:28" s="49" customFormat="1" ht="14.5">
      <c r="A43" s="282"/>
      <c r="B43" s="253">
        <f t="shared" ref="B43" si="91" xml:space="preserve"> B41+1</f>
        <v>18</v>
      </c>
      <c r="C43" s="263"/>
      <c r="D43" s="258"/>
      <c r="E43" s="290"/>
      <c r="F43" s="291"/>
      <c r="G43" s="255"/>
      <c r="H43" s="255"/>
      <c r="I43" s="256">
        <f t="shared" ref="I43" si="92">I41+(G42)</f>
        <v>4.9321722673000004</v>
      </c>
      <c r="J43" s="334">
        <f t="shared" ref="J43" si="93">SQRT(H42^2+J41^2)</f>
        <v>2.0285419616858674E-2</v>
      </c>
      <c r="K43" s="255"/>
      <c r="L43" s="257"/>
      <c r="M43" s="53"/>
      <c r="N43" s="46"/>
      <c r="O43" s="53"/>
      <c r="P43" s="53"/>
      <c r="Q43" s="53"/>
      <c r="S43" s="53"/>
      <c r="U43" s="46"/>
      <c r="V43" s="46"/>
      <c r="W43" s="46"/>
      <c r="AB43" s="48"/>
    </row>
    <row r="44" spans="1:28" ht="12.75" customHeight="1">
      <c r="A44" s="282" t="s">
        <v>228</v>
      </c>
      <c r="B44" s="253"/>
      <c r="C44" s="263">
        <f t="shared" ref="C44" si="94">(B43+B45)/2</f>
        <v>18.5</v>
      </c>
      <c r="D44" s="258">
        <f t="shared" ref="D44" si="95">B45-B43</f>
        <v>1</v>
      </c>
      <c r="E44" s="290">
        <v>0.27191991119999998</v>
      </c>
      <c r="F44" s="291">
        <v>4.8802482930143144E-3</v>
      </c>
      <c r="G44" s="255">
        <f t="shared" ref="G44" si="96">D44*E44</f>
        <v>0.27191991119999998</v>
      </c>
      <c r="H44" s="333">
        <f t="shared" ref="H44" si="97">F44*D44</f>
        <v>4.8802482930143144E-3</v>
      </c>
      <c r="I44" s="256"/>
      <c r="J44" s="256"/>
      <c r="K44" s="255">
        <f t="shared" ref="K44" si="98">AVERAGE(I43:I45)</f>
        <v>5.068132222900001</v>
      </c>
      <c r="L44" s="257">
        <f t="shared" ref="L44" si="99">SQRT(SUMSQ(J45,J43))/2</f>
        <v>1.4550028534899328E-2</v>
      </c>
      <c r="M44" s="246"/>
      <c r="O44" s="53"/>
      <c r="P44" s="53"/>
      <c r="Q44" s="53"/>
      <c r="S44" s="53"/>
      <c r="AB44" s="48"/>
    </row>
    <row r="45" spans="1:28" ht="12.75" customHeight="1">
      <c r="A45" s="282"/>
      <c r="B45" s="253">
        <f t="shared" ref="B45" si="100" xml:space="preserve"> B43+1</f>
        <v>19</v>
      </c>
      <c r="C45" s="263"/>
      <c r="D45" s="258"/>
      <c r="E45" s="290"/>
      <c r="F45" s="291"/>
      <c r="G45" s="255"/>
      <c r="H45" s="255"/>
      <c r="I45" s="256">
        <f t="shared" ref="I45" si="101">I43+(G44)</f>
        <v>5.2040921785000007</v>
      </c>
      <c r="J45" s="334">
        <f t="shared" ref="J45" si="102">SQRT(H44^2+J43^2)</f>
        <v>2.0864205530848855E-2</v>
      </c>
      <c r="K45" s="255"/>
      <c r="L45" s="257"/>
      <c r="M45" s="53"/>
      <c r="O45" s="53"/>
      <c r="P45" s="53"/>
      <c r="Q45" s="53"/>
      <c r="S45" s="53"/>
      <c r="AB45" s="48"/>
    </row>
    <row r="46" spans="1:28" ht="12.75" customHeight="1">
      <c r="A46" s="282" t="s">
        <v>229</v>
      </c>
      <c r="B46" s="253"/>
      <c r="C46" s="263">
        <f t="shared" ref="C46" si="103">(B45+B47)/2</f>
        <v>19.5</v>
      </c>
      <c r="D46" s="258">
        <f t="shared" ref="D46" si="104">B47-B45</f>
        <v>1</v>
      </c>
      <c r="E46" s="290">
        <v>0.26795783220000002</v>
      </c>
      <c r="F46" s="291">
        <v>4.7748453065372815E-3</v>
      </c>
      <c r="G46" s="255">
        <f t="shared" ref="G46" si="105">D46*E46</f>
        <v>0.26795783220000002</v>
      </c>
      <c r="H46" s="333">
        <f t="shared" ref="H46" si="106">F46*D46</f>
        <v>4.7748453065372815E-3</v>
      </c>
      <c r="I46" s="256"/>
      <c r="J46" s="256"/>
      <c r="K46" s="255">
        <f t="shared" ref="K46" si="107">AVERAGE(I45:I47)</f>
        <v>5.3380710946000001</v>
      </c>
      <c r="L46" s="257">
        <f t="shared" ref="L46" si="108">SQRT(SUMSQ(J47,J45))/2</f>
        <v>1.4945143797973048E-2</v>
      </c>
      <c r="M46" s="246"/>
      <c r="O46" s="53"/>
      <c r="P46" s="53"/>
      <c r="Q46" s="53"/>
      <c r="S46" s="53"/>
      <c r="AB46" s="48"/>
    </row>
    <row r="47" spans="1:28" ht="12.75" customHeight="1">
      <c r="A47" s="282"/>
      <c r="B47" s="253">
        <f t="shared" ref="B47" si="109" xml:space="preserve"> B45+1</f>
        <v>20</v>
      </c>
      <c r="C47" s="263"/>
      <c r="D47" s="258"/>
      <c r="E47" s="292"/>
      <c r="F47" s="284"/>
      <c r="G47" s="255"/>
      <c r="H47" s="255"/>
      <c r="I47" s="256">
        <f t="shared" ref="I47" si="110">I45+(G46)</f>
        <v>5.4720500107000003</v>
      </c>
      <c r="J47" s="334">
        <f t="shared" ref="J47" si="111">SQRT(H46^2+J45^2)</f>
        <v>2.1403602970875374E-2</v>
      </c>
      <c r="K47" s="255"/>
      <c r="L47" s="257"/>
      <c r="O47" s="53"/>
      <c r="P47" s="53"/>
      <c r="Q47" s="53"/>
      <c r="S47" s="53"/>
      <c r="AB47" s="48"/>
    </row>
    <row r="48" spans="1:28" ht="12.75" customHeight="1">
      <c r="A48" s="282" t="s">
        <v>230</v>
      </c>
      <c r="B48" s="253"/>
      <c r="C48" s="263">
        <f t="shared" ref="C48" si="112">(B47+B49)/2</f>
        <v>20.5</v>
      </c>
      <c r="D48" s="258">
        <f t="shared" ref="D48" si="113">B49-B47</f>
        <v>1</v>
      </c>
      <c r="E48" s="292">
        <v>0.32554032189999998</v>
      </c>
      <c r="F48" s="291">
        <v>4.8019496094421571E-3</v>
      </c>
      <c r="G48" s="255">
        <f t="shared" ref="G48" si="114">D48*E48</f>
        <v>0.32554032189999998</v>
      </c>
      <c r="H48" s="333">
        <f t="shared" ref="H48" si="115">F48*D48</f>
        <v>4.8019496094421571E-3</v>
      </c>
      <c r="I48" s="256"/>
      <c r="J48" s="256"/>
      <c r="K48" s="255">
        <f t="shared" ref="K48" si="116">AVERAGE(I47:I49)</f>
        <v>5.6348201716500004</v>
      </c>
      <c r="L48" s="257">
        <f t="shared" ref="L48" si="117">SQRT(SUMSQ(J49,J47))/2</f>
        <v>1.5323896047687677E-2</v>
      </c>
      <c r="O48" s="53"/>
      <c r="P48" s="53"/>
      <c r="Q48" s="53"/>
      <c r="S48" s="53"/>
      <c r="AB48" s="48"/>
    </row>
    <row r="49" spans="1:28" ht="12.75" customHeight="1">
      <c r="A49" s="282"/>
      <c r="B49" s="253">
        <f t="shared" ref="B49" si="118" xml:space="preserve"> B47+1</f>
        <v>21</v>
      </c>
      <c r="C49" s="263"/>
      <c r="D49" s="258"/>
      <c r="E49" s="292"/>
      <c r="F49" s="291"/>
      <c r="G49" s="255"/>
      <c r="H49" s="255"/>
      <c r="I49" s="256">
        <f t="shared" ref="I49" si="119">I47+(G48)</f>
        <v>5.7975903326000005</v>
      </c>
      <c r="J49" s="334">
        <f t="shared" ref="J49" si="120">SQRT(H48^2+J47^2)</f>
        <v>2.1935654542011889E-2</v>
      </c>
      <c r="K49" s="255"/>
      <c r="L49" s="257"/>
      <c r="O49" s="53"/>
      <c r="P49" s="53"/>
      <c r="Q49" s="53"/>
      <c r="S49" s="53"/>
      <c r="AB49" s="48"/>
    </row>
    <row r="50" spans="1:28" ht="14.5">
      <c r="A50" s="282" t="s">
        <v>231</v>
      </c>
      <c r="B50" s="253"/>
      <c r="C50" s="263">
        <f t="shared" ref="C50" si="121">(B49+B51)/2</f>
        <v>21.5</v>
      </c>
      <c r="D50" s="258">
        <f t="shared" ref="D50" si="122">B51-B49</f>
        <v>1</v>
      </c>
      <c r="E50" s="292">
        <v>0.32641815239999999</v>
      </c>
      <c r="F50" s="291">
        <v>4.7271126217080699E-3</v>
      </c>
      <c r="G50" s="255">
        <f t="shared" ref="G50" si="123">D50*E50</f>
        <v>0.32641815239999999</v>
      </c>
      <c r="H50" s="333">
        <f t="shared" ref="H50" si="124">F50*D50</f>
        <v>4.7271126217080699E-3</v>
      </c>
      <c r="I50" s="256"/>
      <c r="J50" s="256"/>
      <c r="K50" s="255">
        <f t="shared" ref="K50" si="125">AVERAGE(I49:I51)</f>
        <v>5.9607994087999998</v>
      </c>
      <c r="L50" s="257">
        <f t="shared" ref="L50" si="126">SQRT(SUMSQ(J51,J49))/2</f>
        <v>1.5689897020943804E-2</v>
      </c>
      <c r="AB50" s="48"/>
    </row>
    <row r="51" spans="1:28" ht="14.5">
      <c r="A51" s="282"/>
      <c r="B51" s="253">
        <f t="shared" ref="B51" si="127" xml:space="preserve"> B49+1</f>
        <v>22</v>
      </c>
      <c r="C51" s="263"/>
      <c r="D51" s="258"/>
      <c r="E51" s="292"/>
      <c r="F51" s="291"/>
      <c r="G51" s="255"/>
      <c r="H51" s="255"/>
      <c r="I51" s="256">
        <f t="shared" ref="I51" si="128">I49+(G50)</f>
        <v>6.1240084850000001</v>
      </c>
      <c r="J51" s="334">
        <f t="shared" ref="J51" si="129">SQRT(H50^2+J49^2)</f>
        <v>2.2439218656735767E-2</v>
      </c>
      <c r="K51" s="255"/>
      <c r="L51" s="257"/>
      <c r="AB51" s="48"/>
    </row>
    <row r="52" spans="1:28" ht="14.5">
      <c r="A52" s="282" t="s">
        <v>232</v>
      </c>
      <c r="B52" s="253"/>
      <c r="C52" s="263">
        <f t="shared" ref="C52" si="130">(B51+B53)/2</f>
        <v>22.5</v>
      </c>
      <c r="D52" s="258">
        <f t="shared" ref="D52" si="131">B53-B51</f>
        <v>1</v>
      </c>
      <c r="E52" s="292">
        <v>0.3328866929</v>
      </c>
      <c r="F52" s="291">
        <v>4.6938377880510812E-3</v>
      </c>
      <c r="G52" s="255">
        <f t="shared" ref="G52" si="132">D52*E52</f>
        <v>0.3328866929</v>
      </c>
      <c r="H52" s="333">
        <f t="shared" ref="H52" si="133">F52*D52</f>
        <v>4.6938377880510812E-3</v>
      </c>
      <c r="I52" s="256"/>
      <c r="J52" s="256"/>
      <c r="K52" s="255">
        <f t="shared" ref="K52" si="134">AVERAGE(I51:I53)</f>
        <v>6.2904518314499995</v>
      </c>
      <c r="L52" s="257">
        <f t="shared" ref="L52" si="135">SQRT(SUMSQ(J53,J51))/2</f>
        <v>1.6039554085370743E-2</v>
      </c>
      <c r="AB52" s="48"/>
    </row>
    <row r="53" spans="1:28" ht="14.5">
      <c r="A53" s="282"/>
      <c r="B53" s="253">
        <f t="shared" ref="B53" si="136" xml:space="preserve"> B51+1</f>
        <v>23</v>
      </c>
      <c r="C53" s="263"/>
      <c r="D53" s="258"/>
      <c r="E53" s="292"/>
      <c r="F53" s="284"/>
      <c r="G53" s="255"/>
      <c r="H53" s="255"/>
      <c r="I53" s="256">
        <f t="shared" ref="I53" si="137">I51+(G52)</f>
        <v>6.4568951778999999</v>
      </c>
      <c r="J53" s="334">
        <f t="shared" ref="J53" si="138">SQRT(H52^2+J51^2)</f>
        <v>2.2924891430611723E-2</v>
      </c>
      <c r="K53" s="255"/>
      <c r="L53" s="257"/>
      <c r="AB53" s="48"/>
    </row>
    <row r="54" spans="1:28" ht="14.5">
      <c r="A54" s="283" t="s">
        <v>233</v>
      </c>
      <c r="B54" s="253"/>
      <c r="C54" s="263">
        <f t="shared" ref="C54" si="139">(B53+B55)/2</f>
        <v>23.5</v>
      </c>
      <c r="D54" s="258">
        <f t="shared" ref="D54" si="140">B55-B53</f>
        <v>1</v>
      </c>
      <c r="E54" s="292">
        <v>0.33107307899999999</v>
      </c>
      <c r="F54" s="292">
        <v>4.5546735596586662E-3</v>
      </c>
      <c r="G54" s="255">
        <f t="shared" ref="G54" si="141">D54*E54</f>
        <v>0.33107307899999999</v>
      </c>
      <c r="H54" s="333">
        <f t="shared" ref="H54" si="142">F54*D54</f>
        <v>4.5546735596586662E-3</v>
      </c>
      <c r="I54" s="256"/>
      <c r="J54" s="256"/>
      <c r="K54" s="255">
        <f t="shared" ref="K54" si="143">AVERAGE(I53:I55)</f>
        <v>6.6224317173999996</v>
      </c>
      <c r="L54" s="257">
        <f t="shared" ref="L54" si="144">SQRT(SUMSQ(J55,J53))/2</f>
        <v>1.6369532258480413E-2</v>
      </c>
      <c r="AB54" s="48"/>
    </row>
    <row r="55" spans="1:28" ht="14.5">
      <c r="A55" s="283"/>
      <c r="B55" s="253">
        <f t="shared" ref="B55" si="145" xml:space="preserve"> B53+1</f>
        <v>24</v>
      </c>
      <c r="C55" s="263"/>
      <c r="D55" s="258"/>
      <c r="E55" s="292"/>
      <c r="F55" s="284"/>
      <c r="G55" s="255"/>
      <c r="H55" s="255"/>
      <c r="I55" s="256">
        <f t="shared" ref="I55" si="146">I53+(G54)</f>
        <v>6.7879682569000002</v>
      </c>
      <c r="J55" s="334">
        <f t="shared" ref="J55" si="147">SQRT(H54^2+J53^2)</f>
        <v>2.3372969395016725E-2</v>
      </c>
      <c r="K55" s="255"/>
      <c r="L55" s="257"/>
    </row>
    <row r="56" spans="1:28" ht="12.75" customHeight="1">
      <c r="A56" s="283" t="s">
        <v>234</v>
      </c>
      <c r="B56" s="253"/>
      <c r="C56" s="263">
        <f t="shared" ref="C56" si="148">(B55+B57)/2</f>
        <v>24.5</v>
      </c>
      <c r="D56" s="258">
        <f t="shared" ref="D56" si="149">B57-B55</f>
        <v>1</v>
      </c>
      <c r="E56" s="292">
        <v>0.3018454793</v>
      </c>
      <c r="F56" s="292">
        <v>4.5982045881577966E-3</v>
      </c>
      <c r="G56" s="255">
        <f t="shared" ref="G56" si="150">D56*E56</f>
        <v>0.3018454793</v>
      </c>
      <c r="H56" s="333">
        <f t="shared" ref="H56" si="151">F56*D56</f>
        <v>4.5982045881577966E-3</v>
      </c>
      <c r="I56" s="256"/>
      <c r="J56" s="256"/>
      <c r="K56" s="255">
        <f t="shared" ref="K56" si="152">AVERAGE(I55:I57)</f>
        <v>6.9388909965500005</v>
      </c>
      <c r="L56" s="257">
        <f t="shared" ref="L56" si="153">SQRT(SUMSQ(J57,J55))/2</f>
        <v>1.6686333345850225E-2</v>
      </c>
      <c r="O56" s="49"/>
      <c r="P56" s="49"/>
    </row>
    <row r="57" spans="1:28" ht="14.5">
      <c r="A57" s="283"/>
      <c r="B57" s="253">
        <f t="shared" ref="B57" si="154" xml:space="preserve"> B55+1</f>
        <v>25</v>
      </c>
      <c r="C57" s="263"/>
      <c r="D57" s="258"/>
      <c r="E57" s="292"/>
      <c r="F57" s="284"/>
      <c r="G57" s="255"/>
      <c r="H57" s="255"/>
      <c r="I57" s="256">
        <f t="shared" ref="I57" si="155">I55+(G56)</f>
        <v>7.0898137362</v>
      </c>
      <c r="J57" s="334">
        <f t="shared" ref="J57" si="156">SQRT(H56^2+J55^2)</f>
        <v>2.3820982006939679E-2</v>
      </c>
      <c r="K57" s="255"/>
      <c r="L57" s="257"/>
    </row>
    <row r="58" spans="1:28" ht="14.5">
      <c r="A58" s="283" t="s">
        <v>235</v>
      </c>
      <c r="B58" s="253"/>
      <c r="C58" s="263">
        <f t="shared" ref="C58" si="157">(B57+B59)/2</f>
        <v>25.5</v>
      </c>
      <c r="D58" s="258">
        <f t="shared" ref="D58" si="158">B59-B57</f>
        <v>1</v>
      </c>
      <c r="E58" s="292">
        <v>0.31333829670000002</v>
      </c>
      <c r="F58" s="292">
        <v>4.7241837700240184E-3</v>
      </c>
      <c r="G58" s="255">
        <f t="shared" ref="G58" si="159">D58*E58</f>
        <v>0.31333829670000002</v>
      </c>
      <c r="H58" s="333">
        <f t="shared" ref="H58" si="160">F58*D58</f>
        <v>4.7241837700240184E-3</v>
      </c>
      <c r="I58" s="256"/>
      <c r="J58" s="256"/>
      <c r="K58" s="255">
        <f t="shared" ref="K58" si="161">AVERAGE(I57:I59)</f>
        <v>7.2464828845499998</v>
      </c>
      <c r="L58" s="257">
        <f t="shared" ref="L58" si="162">SQRT(SUMSQ(J59,J57))/2</f>
        <v>1.7008793900824111E-2</v>
      </c>
    </row>
    <row r="59" spans="1:28" ht="14.5">
      <c r="A59" s="283"/>
      <c r="B59" s="253">
        <f t="shared" ref="B59" si="163" xml:space="preserve"> B57+1</f>
        <v>26</v>
      </c>
      <c r="C59" s="263"/>
      <c r="D59" s="258"/>
      <c r="E59" s="292"/>
      <c r="F59" s="284"/>
      <c r="G59" s="255"/>
      <c r="H59" s="255"/>
      <c r="I59" s="256">
        <f t="shared" ref="I59" si="164">I57+(G58)</f>
        <v>7.4031520328999996</v>
      </c>
      <c r="J59" s="334">
        <f t="shared" ref="J59" si="165">SQRT(H58^2+J57^2)</f>
        <v>2.4284914989925376E-2</v>
      </c>
      <c r="K59" s="255"/>
      <c r="L59" s="257"/>
    </row>
    <row r="60" spans="1:28" ht="14.5">
      <c r="A60" s="283" t="s">
        <v>236</v>
      </c>
      <c r="B60" s="253"/>
      <c r="C60" s="263">
        <f t="shared" ref="C60" si="166">(B59+B61)/2</f>
        <v>26.5</v>
      </c>
      <c r="D60" s="258">
        <f t="shared" ref="D60" si="167">B61-B59</f>
        <v>1</v>
      </c>
      <c r="E60" s="292">
        <v>0.30068124229999998</v>
      </c>
      <c r="F60" s="292">
        <v>4.9192450314971773E-3</v>
      </c>
      <c r="G60" s="255">
        <f t="shared" ref="G60" si="168">D60*E60</f>
        <v>0.30068124229999998</v>
      </c>
      <c r="H60" s="333">
        <f t="shared" ref="H60" si="169">F60*D60</f>
        <v>4.9192450314971773E-3</v>
      </c>
      <c r="I60" s="256"/>
      <c r="J60" s="256"/>
      <c r="K60" s="255">
        <f t="shared" ref="K60" si="170">AVERAGE(I59:I61)</f>
        <v>7.5534926540499994</v>
      </c>
      <c r="L60" s="257">
        <f t="shared" ref="L60" si="171">SQRT(SUMSQ(J61,J59))/2</f>
        <v>1.7347284829446034E-2</v>
      </c>
    </row>
    <row r="61" spans="1:28" ht="14.5">
      <c r="A61" s="283"/>
      <c r="B61" s="253">
        <f t="shared" ref="B61" si="172" xml:space="preserve"> B59+1</f>
        <v>27</v>
      </c>
      <c r="C61" s="263"/>
      <c r="D61" s="258"/>
      <c r="E61" s="292"/>
      <c r="F61" s="284"/>
      <c r="G61" s="255"/>
      <c r="H61" s="255"/>
      <c r="I61" s="256">
        <f t="shared" ref="I61" si="173">I59+(G60)</f>
        <v>7.7038332751999992</v>
      </c>
      <c r="J61" s="334">
        <f t="shared" ref="J61" si="174">SQRT(H60^2+J59^2)</f>
        <v>2.4778136890166134E-2</v>
      </c>
      <c r="K61" s="255"/>
      <c r="L61" s="257"/>
    </row>
    <row r="62" spans="1:28" ht="14.5">
      <c r="A62" s="283" t="s">
        <v>237</v>
      </c>
      <c r="B62" s="253"/>
      <c r="C62" s="263">
        <f t="shared" ref="C62" si="175">(B61+B63)/2</f>
        <v>27.5</v>
      </c>
      <c r="D62" s="258">
        <f t="shared" ref="D62" si="176">B63-B61</f>
        <v>1</v>
      </c>
      <c r="E62" s="292">
        <v>0.3117251707</v>
      </c>
      <c r="F62" s="292">
        <v>5.1966197459294167E-3</v>
      </c>
      <c r="G62" s="255">
        <f t="shared" ref="G62" si="177">D62*E62</f>
        <v>0.3117251707</v>
      </c>
      <c r="H62" s="333">
        <f t="shared" ref="H62" si="178">F62*D62</f>
        <v>5.1966197459294167E-3</v>
      </c>
      <c r="I62" s="256"/>
      <c r="J62" s="256"/>
      <c r="K62" s="255">
        <f t="shared" ref="K62:K68" si="179">AVERAGE(I61:I63)</f>
        <v>7.8596958605499996</v>
      </c>
      <c r="L62" s="257">
        <f t="shared" ref="L62" si="180">SQRT(SUMSQ(J63,J61))/2</f>
        <v>1.7712403791407077E-2</v>
      </c>
    </row>
    <row r="63" spans="1:28" ht="14.5">
      <c r="A63" s="283"/>
      <c r="B63" s="253">
        <f t="shared" ref="B63" si="181" xml:space="preserve"> B61+1</f>
        <v>28</v>
      </c>
      <c r="C63" s="263"/>
      <c r="D63" s="258"/>
      <c r="E63" s="292"/>
      <c r="F63" s="284"/>
      <c r="G63" s="255"/>
      <c r="H63" s="255"/>
      <c r="I63" s="256">
        <f t="shared" ref="I63" si="182">I61+(G62)</f>
        <v>8.0155584459</v>
      </c>
      <c r="J63" s="334">
        <f t="shared" ref="J63" si="183">SQRT(H62^2+J61^2)</f>
        <v>2.5317206096479038E-2</v>
      </c>
      <c r="K63" s="255"/>
      <c r="L63" s="257"/>
    </row>
    <row r="64" spans="1:28" ht="14.5">
      <c r="A64" s="283" t="s">
        <v>238</v>
      </c>
      <c r="B64" s="253"/>
      <c r="C64" s="263">
        <f t="shared" ref="C64" si="184">(B63+B65)/2</f>
        <v>28.5</v>
      </c>
      <c r="D64" s="258">
        <f t="shared" ref="D64" si="185">B65-B63</f>
        <v>1</v>
      </c>
      <c r="E64" s="292">
        <v>0.30354376399999999</v>
      </c>
      <c r="F64" s="292">
        <v>5.1653723259132622E-3</v>
      </c>
      <c r="G64" s="255">
        <f t="shared" ref="G64" si="186">D64*E64</f>
        <v>0.30354376399999999</v>
      </c>
      <c r="H64" s="333">
        <f t="shared" ref="H64" si="187">F64*D64</f>
        <v>5.1653723259132622E-3</v>
      </c>
      <c r="I64" s="256"/>
      <c r="J64" s="256"/>
      <c r="K64" s="255">
        <f t="shared" si="179"/>
        <v>8.1673303279000002</v>
      </c>
      <c r="L64" s="257">
        <f t="shared" ref="L64" si="188">SQRT(SUMSQ(J65,J63))/2</f>
        <v>1.8087308536156654E-2</v>
      </c>
    </row>
    <row r="65" spans="1:12" ht="14.5">
      <c r="A65" s="283"/>
      <c r="B65" s="253">
        <f t="shared" ref="B65" si="189" xml:space="preserve"> B63+1</f>
        <v>29</v>
      </c>
      <c r="C65" s="263"/>
      <c r="D65" s="258"/>
      <c r="E65" s="284"/>
      <c r="F65" s="284"/>
      <c r="G65" s="255"/>
      <c r="H65" s="255"/>
      <c r="I65" s="256">
        <f t="shared" ref="I65" si="190">I63+(G64)</f>
        <v>8.3191022099000005</v>
      </c>
      <c r="J65" s="334">
        <f t="shared" ref="J65" si="191">SQRT(H64^2+J63^2)</f>
        <v>2.5838769239205375E-2</v>
      </c>
      <c r="K65" s="255"/>
      <c r="L65" s="257"/>
    </row>
    <row r="66" spans="1:12" ht="14.5">
      <c r="A66" s="283" t="s">
        <v>239</v>
      </c>
      <c r="B66" s="253"/>
      <c r="C66" s="263">
        <f t="shared" ref="C66" si="192">(B65+B67)/2</f>
        <v>29.5</v>
      </c>
      <c r="D66" s="258">
        <f t="shared" ref="D66" si="193">B67-B65</f>
        <v>1</v>
      </c>
      <c r="E66" s="284">
        <v>0.3269324542</v>
      </c>
      <c r="F66" s="292">
        <v>4.9813559166554328E-3</v>
      </c>
      <c r="G66" s="255">
        <f t="shared" ref="G66" si="194">D66*E66</f>
        <v>0.3269324542</v>
      </c>
      <c r="H66" s="333">
        <f t="shared" ref="H66" si="195">F66*D66</f>
        <v>4.9813559166554328E-3</v>
      </c>
      <c r="I66" s="256"/>
      <c r="J66" s="256"/>
      <c r="K66" s="255">
        <f t="shared" si="179"/>
        <v>8.4825684370000012</v>
      </c>
      <c r="L66" s="257">
        <f t="shared" ref="L66" si="196">SQRT(SUMSQ(J67,J65))/2</f>
        <v>1.8439752563159641E-2</v>
      </c>
    </row>
    <row r="67" spans="1:12" ht="14.5">
      <c r="A67" s="283"/>
      <c r="B67" s="253">
        <f t="shared" ref="B67" si="197" xml:space="preserve"> B65+1</f>
        <v>30</v>
      </c>
      <c r="C67" s="263"/>
      <c r="D67" s="258"/>
      <c r="E67" s="284"/>
      <c r="F67" s="284"/>
      <c r="G67" s="255"/>
      <c r="H67" s="255"/>
      <c r="I67" s="256">
        <f t="shared" ref="I67" si="198">I65+(G66)</f>
        <v>8.6460346641000001</v>
      </c>
      <c r="J67" s="334">
        <f t="shared" ref="J67" si="199">SQRT(H66^2+J65^2)</f>
        <v>2.6314556856715333E-2</v>
      </c>
      <c r="K67" s="255"/>
      <c r="L67" s="257"/>
    </row>
    <row r="68" spans="1:12" ht="14.5">
      <c r="A68" s="284" t="s">
        <v>240</v>
      </c>
      <c r="B68" s="253"/>
      <c r="C68" s="263">
        <f t="shared" ref="C68" si="200">(B67+B69)/2</f>
        <v>30.5</v>
      </c>
      <c r="D68" s="258">
        <f t="shared" ref="D68" si="201">B69-B67</f>
        <v>1</v>
      </c>
      <c r="E68" s="284">
        <v>0.33167596739999999</v>
      </c>
      <c r="F68" s="292">
        <v>5.1139579708859035E-3</v>
      </c>
      <c r="G68" s="255">
        <f t="shared" ref="G68" si="202">D68*E68</f>
        <v>0.33167596739999999</v>
      </c>
      <c r="H68" s="333">
        <f t="shared" ref="H68" si="203">F68*D68</f>
        <v>5.1139579708859035E-3</v>
      </c>
      <c r="I68" s="256"/>
      <c r="J68" s="256"/>
      <c r="K68" s="255">
        <f t="shared" si="179"/>
        <v>8.8118726478000013</v>
      </c>
      <c r="L68" s="257">
        <f t="shared" ref="L68" si="204">SQRT(SUMSQ(J69,J67))/2</f>
        <v>1.878206838488905E-2</v>
      </c>
    </row>
    <row r="69" spans="1:12" ht="14.5">
      <c r="A69" s="285"/>
      <c r="B69" s="253">
        <f t="shared" ref="B69:B103" si="205" xml:space="preserve"> B67+1</f>
        <v>31</v>
      </c>
      <c r="C69" s="263"/>
      <c r="D69" s="258"/>
      <c r="E69" s="283"/>
      <c r="F69" s="284"/>
      <c r="G69" s="255"/>
      <c r="H69" s="255"/>
      <c r="I69" s="256">
        <f>I67+(G68)</f>
        <v>8.9777106315000008</v>
      </c>
      <c r="J69" s="334">
        <f t="shared" ref="J69" si="206">SQRT(H68^2+J67^2)</f>
        <v>2.6806873534474165E-2</v>
      </c>
      <c r="K69" s="255"/>
      <c r="L69" s="257"/>
    </row>
    <row r="70" spans="1:12" ht="14.5">
      <c r="A70" s="285" t="s">
        <v>241</v>
      </c>
      <c r="B70" s="253"/>
      <c r="C70" s="263">
        <f t="shared" ref="C70" si="207">(B69+B71)/2</f>
        <v>31.5</v>
      </c>
      <c r="D70" s="258">
        <f t="shared" ref="D70" si="208">B71-B69</f>
        <v>1</v>
      </c>
      <c r="E70" s="283">
        <v>0.30135291780000001</v>
      </c>
      <c r="F70" s="292">
        <v>4.9659074643431545E-3</v>
      </c>
      <c r="G70" s="255">
        <f t="shared" ref="G70" si="209">D70*E70</f>
        <v>0.30135291780000001</v>
      </c>
      <c r="H70" s="333">
        <f t="shared" ref="H70" si="210">F70*D70</f>
        <v>4.9659074643431545E-3</v>
      </c>
      <c r="I70" s="256"/>
      <c r="J70" s="256"/>
      <c r="K70" s="255">
        <f t="shared" ref="K70" si="211">AVERAGE(I69:I71)</f>
        <v>9.1283870904000004</v>
      </c>
      <c r="L70" s="257">
        <f t="shared" ref="L70" si="212">SQRT(SUMSQ(J71,J69))/2</f>
        <v>1.9117251203631509E-2</v>
      </c>
    </row>
    <row r="71" spans="1:12" ht="14.5">
      <c r="A71" s="285"/>
      <c r="B71" s="253">
        <f t="shared" si="205"/>
        <v>32</v>
      </c>
      <c r="C71" s="263"/>
      <c r="D71" s="258"/>
      <c r="E71" s="283"/>
      <c r="F71" s="284"/>
      <c r="G71" s="255"/>
      <c r="H71" s="255"/>
      <c r="I71" s="256">
        <f t="shared" ref="I71" si="213">I69+(G70)</f>
        <v>9.2790635493</v>
      </c>
      <c r="J71" s="334">
        <f t="shared" ref="J71" si="214">SQRT(H70^2+J69^2)</f>
        <v>2.7262954822207194E-2</v>
      </c>
      <c r="K71" s="255"/>
      <c r="L71" s="257"/>
    </row>
    <row r="72" spans="1:12" ht="14.5">
      <c r="A72" s="285" t="s">
        <v>242</v>
      </c>
      <c r="B72" s="253"/>
      <c r="C72" s="263">
        <f t="shared" ref="C72" si="215">(B71+B73)/2</f>
        <v>32.5</v>
      </c>
      <c r="D72" s="258">
        <f t="shared" ref="D72" si="216">B73-B71</f>
        <v>1</v>
      </c>
      <c r="E72" s="283">
        <v>0.30438742089999998</v>
      </c>
      <c r="F72" s="283">
        <v>5.1595943292345086E-3</v>
      </c>
      <c r="G72" s="255">
        <f t="shared" ref="G72" si="217">D72*E72</f>
        <v>0.30438742089999998</v>
      </c>
      <c r="H72" s="333">
        <f t="shared" ref="H72" si="218">F72*D72</f>
        <v>5.1595943292345086E-3</v>
      </c>
      <c r="I72" s="256"/>
      <c r="J72" s="256"/>
      <c r="K72" s="255">
        <f t="shared" ref="K72" si="219">AVERAGE(I71:I73)</f>
        <v>9.4312572597499997</v>
      </c>
      <c r="L72" s="257">
        <f t="shared" ref="L72" si="220">SQRT(SUMSQ(J73,J71))/2</f>
        <v>1.9449671108515497E-2</v>
      </c>
    </row>
    <row r="73" spans="1:12" ht="14.5">
      <c r="A73" s="285"/>
      <c r="B73" s="253">
        <f t="shared" si="205"/>
        <v>33</v>
      </c>
      <c r="C73" s="263"/>
      <c r="D73" s="258"/>
      <c r="E73" s="283"/>
      <c r="F73" s="283"/>
      <c r="G73" s="255"/>
      <c r="H73" s="255"/>
      <c r="I73" s="256">
        <f t="shared" ref="I73" si="221">I71+(G72)</f>
        <v>9.5834509701999995</v>
      </c>
      <c r="J73" s="334">
        <f t="shared" ref="J73" si="222">SQRT(H72^2+J71^2)</f>
        <v>2.7746893867241777E-2</v>
      </c>
      <c r="K73" s="255"/>
      <c r="L73" s="257"/>
    </row>
    <row r="74" spans="1:12" ht="14.5">
      <c r="A74" s="285" t="s">
        <v>243</v>
      </c>
      <c r="B74" s="253"/>
      <c r="C74" s="263">
        <f t="shared" ref="C74" si="223">(B73+B75)/2</f>
        <v>33.5</v>
      </c>
      <c r="D74" s="258">
        <f t="shared" ref="D74" si="224">B75-B73</f>
        <v>1</v>
      </c>
      <c r="E74" s="283">
        <v>0.29293916120000002</v>
      </c>
      <c r="F74" s="283">
        <v>5.2273852993742946E-3</v>
      </c>
      <c r="G74" s="255">
        <f t="shared" ref="G74" si="225">D74*E74</f>
        <v>0.29293916120000002</v>
      </c>
      <c r="H74" s="333">
        <f t="shared" ref="H74" si="226">F74*D74</f>
        <v>5.2273852993742946E-3</v>
      </c>
      <c r="I74" s="256"/>
      <c r="J74" s="256"/>
      <c r="K74" s="255">
        <f t="shared" ref="K74" si="227">AVERAGE(I73:I75)</f>
        <v>9.7299205507999993</v>
      </c>
      <c r="L74" s="257">
        <f t="shared" ref="L74" si="228">SQRT(SUMSQ(J75,J73))/2</f>
        <v>1.9793343550472173E-2</v>
      </c>
    </row>
    <row r="75" spans="1:12" ht="14.5">
      <c r="A75" s="285"/>
      <c r="B75" s="253">
        <f t="shared" si="205"/>
        <v>34</v>
      </c>
      <c r="C75" s="263"/>
      <c r="D75" s="258"/>
      <c r="E75" s="283"/>
      <c r="F75" s="283"/>
      <c r="G75" s="255"/>
      <c r="H75" s="255"/>
      <c r="I75" s="256">
        <f t="shared" ref="I75" si="229">I73+(G74)</f>
        <v>9.8763901313999991</v>
      </c>
      <c r="J75" s="334">
        <f t="shared" ref="J75" si="230">SQRT(H74^2+J73^2)</f>
        <v>2.8235007992704623E-2</v>
      </c>
      <c r="K75" s="255"/>
      <c r="L75" s="257"/>
    </row>
    <row r="76" spans="1:12" ht="14.5">
      <c r="A76" s="285" t="s">
        <v>244</v>
      </c>
      <c r="B76" s="253"/>
      <c r="C76" s="263">
        <f t="shared" ref="C76" si="231">(B75+B77)/2</f>
        <v>34.5</v>
      </c>
      <c r="D76" s="258">
        <f t="shared" ref="D76" si="232">B77-B75</f>
        <v>1</v>
      </c>
      <c r="E76" s="283">
        <v>0.30355458369999999</v>
      </c>
      <c r="F76" s="283">
        <v>5.2555424855757864E-3</v>
      </c>
      <c r="G76" s="255">
        <f t="shared" ref="G76" si="233">D76*E76</f>
        <v>0.30355458369999999</v>
      </c>
      <c r="H76" s="333">
        <f t="shared" ref="H76" si="234">F76*D76</f>
        <v>5.2555424855757864E-3</v>
      </c>
      <c r="I76" s="256"/>
      <c r="J76" s="256"/>
      <c r="K76" s="255">
        <f t="shared" ref="K76" si="235">AVERAGE(I75:I77)</f>
        <v>10.02816742325</v>
      </c>
      <c r="L76" s="257">
        <f t="shared" ref="L76" si="236">SQRT(SUMSQ(J77,J75))/2</f>
        <v>2.0137353844993388E-2</v>
      </c>
    </row>
    <row r="77" spans="1:12" ht="14.5">
      <c r="A77" s="285"/>
      <c r="B77" s="253">
        <f t="shared" si="205"/>
        <v>35</v>
      </c>
      <c r="C77" s="263"/>
      <c r="D77" s="258"/>
      <c r="E77" s="283"/>
      <c r="F77" s="283"/>
      <c r="G77" s="255"/>
      <c r="H77" s="255"/>
      <c r="I77" s="256">
        <f t="shared" ref="I77" si="237">I75+(G76)</f>
        <v>10.1799447151</v>
      </c>
      <c r="J77" s="334">
        <f t="shared" ref="J77" si="238">SQRT(H76^2+J75^2)</f>
        <v>2.8719965236152115E-2</v>
      </c>
      <c r="K77" s="255"/>
      <c r="L77" s="257"/>
    </row>
    <row r="78" spans="1:12" ht="14.5">
      <c r="A78" s="285" t="s">
        <v>245</v>
      </c>
      <c r="B78" s="253"/>
      <c r="C78" s="263">
        <f t="shared" ref="C78" si="239">(B77+B79)/2</f>
        <v>35.5</v>
      </c>
      <c r="D78" s="258">
        <f t="shared" ref="D78" si="240">B79-B77</f>
        <v>1</v>
      </c>
      <c r="E78" s="283">
        <v>0.29113622649999998</v>
      </c>
      <c r="F78" s="283">
        <v>5.7780061985080004E-3</v>
      </c>
      <c r="G78" s="255">
        <f t="shared" ref="G78" si="241">D78*E78</f>
        <v>0.29113622649999998</v>
      </c>
      <c r="H78" s="333">
        <f t="shared" ref="H78" si="242">F78*D78</f>
        <v>5.7780061985080004E-3</v>
      </c>
      <c r="I78" s="256"/>
      <c r="J78" s="256"/>
      <c r="K78" s="255">
        <f t="shared" ref="K78" si="243">AVERAGE(I77:I79)</f>
        <v>10.32551282835</v>
      </c>
      <c r="L78" s="257">
        <f t="shared" ref="L78" si="244">SQRT(SUMSQ(J79,J77))/2</f>
        <v>2.0512545929025783E-2</v>
      </c>
    </row>
    <row r="79" spans="1:12" ht="14.5">
      <c r="A79" s="285"/>
      <c r="B79" s="253">
        <f t="shared" si="205"/>
        <v>36</v>
      </c>
      <c r="C79" s="263"/>
      <c r="D79" s="258"/>
      <c r="E79" s="283"/>
      <c r="F79" s="283"/>
      <c r="G79" s="255"/>
      <c r="H79" s="255"/>
      <c r="I79" s="256">
        <f t="shared" ref="I79" si="245">I77+(G78)</f>
        <v>10.4710809416</v>
      </c>
      <c r="J79" s="334">
        <f t="shared" ref="J79" si="246">SQRT(H78^2+J77^2)</f>
        <v>2.929542214742404E-2</v>
      </c>
      <c r="K79" s="255"/>
      <c r="L79" s="257"/>
    </row>
    <row r="80" spans="1:12" ht="14.5">
      <c r="A80" s="285" t="s">
        <v>246</v>
      </c>
      <c r="B80" s="253"/>
      <c r="C80" s="263">
        <f t="shared" ref="C80" si="247">(B79+B81)/2</f>
        <v>36.5</v>
      </c>
      <c r="D80" s="258">
        <f t="shared" ref="D80" si="248">B81-B79</f>
        <v>1</v>
      </c>
      <c r="E80" s="283">
        <v>0.28995403419999999</v>
      </c>
      <c r="F80" s="283">
        <v>5.7686346069904847E-3</v>
      </c>
      <c r="G80" s="255">
        <f t="shared" ref="G80" si="249">D80*E80</f>
        <v>0.28995403419999999</v>
      </c>
      <c r="H80" s="333">
        <f t="shared" ref="H80" si="250">F80*D80</f>
        <v>5.7686346069904847E-3</v>
      </c>
      <c r="I80" s="256"/>
      <c r="J80" s="256"/>
      <c r="K80" s="255">
        <f t="shared" ref="K80" si="251">AVERAGE(I79:I81)</f>
        <v>10.616057958700001</v>
      </c>
      <c r="L80" s="257">
        <f t="shared" ref="L80" si="252">SQRT(SUMSQ(J81,J79))/2</f>
        <v>2.0914831237787541E-2</v>
      </c>
    </row>
    <row r="81" spans="1:12" ht="14.5">
      <c r="A81" s="285"/>
      <c r="B81" s="253">
        <f t="shared" si="205"/>
        <v>37</v>
      </c>
      <c r="C81" s="263"/>
      <c r="D81" s="258"/>
      <c r="E81" s="283"/>
      <c r="F81" s="283"/>
      <c r="G81" s="255"/>
      <c r="H81" s="255"/>
      <c r="I81" s="256">
        <f t="shared" ref="I81" si="253">I79+(G80)</f>
        <v>10.761034975800001</v>
      </c>
      <c r="J81" s="334">
        <f t="shared" ref="J81" si="254">SQRT(H80^2+J79^2)</f>
        <v>2.9857978900534297E-2</v>
      </c>
      <c r="K81" s="255"/>
      <c r="L81" s="257"/>
    </row>
    <row r="82" spans="1:12" ht="14.5">
      <c r="A82" s="285" t="s">
        <v>247</v>
      </c>
      <c r="B82" s="253"/>
      <c r="C82" s="263">
        <f t="shared" ref="C82" si="255">(B81+B83)/2</f>
        <v>37.5</v>
      </c>
      <c r="D82" s="258">
        <f t="shared" ref="D82" si="256">B83-B81</f>
        <v>1</v>
      </c>
      <c r="E82" s="283">
        <v>0.26109957230000003</v>
      </c>
      <c r="F82" s="283">
        <v>5.462608768653762E-3</v>
      </c>
      <c r="G82" s="255">
        <f t="shared" ref="G82" si="257">D82*E82</f>
        <v>0.26109957230000003</v>
      </c>
      <c r="H82" s="333">
        <f t="shared" ref="H82" si="258">F82*D82</f>
        <v>5.462608768653762E-3</v>
      </c>
      <c r="I82" s="256"/>
      <c r="J82" s="256"/>
      <c r="K82" s="255">
        <f t="shared" ref="K82" si="259">AVERAGE(I81:I83)</f>
        <v>10.891584761950002</v>
      </c>
      <c r="L82" s="257">
        <f t="shared" ref="L82" si="260">SQRT(SUMSQ(J83,J81))/2</f>
        <v>2.1288717097378573E-2</v>
      </c>
    </row>
    <row r="83" spans="1:12" ht="14.5">
      <c r="A83" s="285"/>
      <c r="B83" s="253">
        <f t="shared" si="205"/>
        <v>38</v>
      </c>
      <c r="C83" s="263"/>
      <c r="D83" s="258"/>
      <c r="E83" s="283"/>
      <c r="F83" s="283"/>
      <c r="G83" s="255"/>
      <c r="H83" s="255"/>
      <c r="I83" s="256">
        <f t="shared" ref="I83" si="261">I81+(G82)</f>
        <v>11.022134548100002</v>
      </c>
      <c r="J83" s="334">
        <f t="shared" ref="J83" si="262">SQRT(H82^2+J81^2)</f>
        <v>3.035356648870317E-2</v>
      </c>
      <c r="K83" s="255"/>
      <c r="L83" s="257"/>
    </row>
    <row r="84" spans="1:12" ht="14.5">
      <c r="A84" s="285" t="s">
        <v>248</v>
      </c>
      <c r="B84" s="253"/>
      <c r="C84" s="263">
        <f t="shared" ref="C84" si="263">(B83+B85)/2</f>
        <v>38.5</v>
      </c>
      <c r="D84" s="258">
        <f t="shared" ref="D84" si="264">B85-B83</f>
        <v>1</v>
      </c>
      <c r="E84" s="283">
        <v>0.27745976519999999</v>
      </c>
      <c r="F84" s="283">
        <v>5.1828362214668489E-3</v>
      </c>
      <c r="G84" s="255">
        <f t="shared" ref="G84" si="265">D84*E84</f>
        <v>0.27745976519999999</v>
      </c>
      <c r="H84" s="333">
        <f t="shared" ref="H84" si="266">F84*D84</f>
        <v>5.1828362214668489E-3</v>
      </c>
      <c r="I84" s="256"/>
      <c r="J84" s="256"/>
      <c r="K84" s="255">
        <f t="shared" ref="K84" si="267">AVERAGE(I83:I85)</f>
        <v>11.160864430700002</v>
      </c>
      <c r="L84" s="257">
        <f t="shared" ref="L84" si="268">SQRT(SUMSQ(J85,J83))/2</f>
        <v>2.1619087564388541E-2</v>
      </c>
    </row>
    <row r="85" spans="1:12" ht="14.5">
      <c r="A85" s="285"/>
      <c r="B85" s="253">
        <f t="shared" si="205"/>
        <v>39</v>
      </c>
      <c r="C85" s="263"/>
      <c r="D85" s="258"/>
      <c r="E85" s="283"/>
      <c r="F85" s="283"/>
      <c r="G85" s="255"/>
      <c r="H85" s="255"/>
      <c r="I85" s="256">
        <f t="shared" ref="I85" si="269">I83+(G84)</f>
        <v>11.299594313300002</v>
      </c>
      <c r="J85" s="334">
        <f t="shared" ref="J85" si="270">SQRT(H84^2+J83^2)</f>
        <v>3.0792869140154396E-2</v>
      </c>
      <c r="K85" s="255"/>
      <c r="L85" s="257"/>
    </row>
    <row r="86" spans="1:12" ht="14.5">
      <c r="A86" s="285" t="s">
        <v>249</v>
      </c>
      <c r="B86" s="253"/>
      <c r="C86" s="263">
        <f t="shared" ref="C86" si="271">(B85+B87)/2</f>
        <v>39.5</v>
      </c>
      <c r="D86" s="258">
        <f t="shared" ref="D86" si="272">B87-B85</f>
        <v>1</v>
      </c>
      <c r="E86" s="283">
        <v>0.28086225339999998</v>
      </c>
      <c r="F86" s="283">
        <v>5.0789845658680112E-3</v>
      </c>
      <c r="G86" s="255">
        <f t="shared" ref="G86" si="273">D86*E86</f>
        <v>0.28086225339999998</v>
      </c>
      <c r="H86" s="333">
        <f t="shared" ref="H86" si="274">F86*D86</f>
        <v>5.0789845658680112E-3</v>
      </c>
      <c r="I86" s="256"/>
      <c r="J86" s="256"/>
      <c r="K86" s="255">
        <f t="shared" ref="K86" si="275">AVERAGE(I85:I87)</f>
        <v>11.440025440000003</v>
      </c>
      <c r="L86" s="257">
        <f t="shared" ref="L86" si="276">SQRT(SUMSQ(J87,J85))/2</f>
        <v>2.1921437361551315E-2</v>
      </c>
    </row>
    <row r="87" spans="1:12" ht="14.5">
      <c r="A87" s="285"/>
      <c r="B87" s="253">
        <f t="shared" si="205"/>
        <v>40</v>
      </c>
      <c r="C87" s="263"/>
      <c r="D87" s="258"/>
      <c r="E87" s="283"/>
      <c r="F87" s="283"/>
      <c r="G87" s="255"/>
      <c r="H87" s="255"/>
      <c r="I87" s="256">
        <f t="shared" ref="I87" si="277">I85+(G86)</f>
        <v>11.580456566700002</v>
      </c>
      <c r="J87" s="334">
        <f t="shared" ref="J87" si="278">SQRT(H86^2+J85^2)</f>
        <v>3.1208922988514014E-2</v>
      </c>
      <c r="K87" s="255"/>
      <c r="L87" s="257"/>
    </row>
    <row r="88" spans="1:12" ht="14.5">
      <c r="A88" s="285" t="s">
        <v>250</v>
      </c>
      <c r="B88" s="253"/>
      <c r="C88" s="263">
        <f t="shared" ref="C88" si="279">(B87+B89)/2</f>
        <v>40.5</v>
      </c>
      <c r="D88" s="258">
        <f t="shared" ref="D88" si="280">B89-B87</f>
        <v>1</v>
      </c>
      <c r="E88" s="283">
        <v>0.2819247097</v>
      </c>
      <c r="F88" s="283">
        <v>4.8861737969202491E-3</v>
      </c>
      <c r="G88" s="255">
        <f t="shared" ref="G88" si="281">D88*E88</f>
        <v>0.2819247097</v>
      </c>
      <c r="H88" s="333">
        <f t="shared" ref="H88" si="282">F88*D88</f>
        <v>4.8861737969202491E-3</v>
      </c>
      <c r="I88" s="256"/>
      <c r="J88" s="256"/>
      <c r="K88" s="255">
        <f t="shared" ref="K88" si="283">AVERAGE(I87:I89)</f>
        <v>11.721418921550002</v>
      </c>
      <c r="L88" s="257">
        <f t="shared" ref="L88" si="284">SQRT(SUMSQ(J89,J87))/2</f>
        <v>2.2202862667794143E-2</v>
      </c>
    </row>
    <row r="89" spans="1:12">
      <c r="A89" s="286"/>
      <c r="B89" s="253">
        <f t="shared" si="205"/>
        <v>41</v>
      </c>
      <c r="C89" s="263"/>
      <c r="D89" s="258"/>
      <c r="E89" s="293"/>
      <c r="F89" s="293"/>
      <c r="G89" s="255"/>
      <c r="H89" s="255"/>
      <c r="I89" s="256">
        <f t="shared" ref="I89" si="285">I87+(G88)</f>
        <v>11.862381276400003</v>
      </c>
      <c r="J89" s="334">
        <f t="shared" ref="J89" si="286">SQRT(H88^2+J87^2)</f>
        <v>3.1589105218044852E-2</v>
      </c>
      <c r="K89" s="255"/>
      <c r="L89" s="257"/>
    </row>
    <row r="90" spans="1:12">
      <c r="A90" s="286" t="s">
        <v>251</v>
      </c>
      <c r="B90" s="253"/>
      <c r="C90" s="263">
        <f t="shared" ref="C90" si="287">(B89+B91)/2</f>
        <v>41.5</v>
      </c>
      <c r="D90" s="258">
        <f t="shared" ref="D90" si="288">B91-B89</f>
        <v>1</v>
      </c>
      <c r="E90" s="293">
        <v>0.26707689690000003</v>
      </c>
      <c r="F90" s="293">
        <v>4.2403250187269511E-3</v>
      </c>
      <c r="G90" s="255">
        <f t="shared" ref="G90" si="289">D90*E90</f>
        <v>0.26707689690000003</v>
      </c>
      <c r="H90" s="333">
        <f t="shared" ref="H90" si="290">F90*D90</f>
        <v>4.2403250187269511E-3</v>
      </c>
      <c r="I90" s="256"/>
      <c r="J90" s="256"/>
      <c r="K90" s="255">
        <f t="shared" ref="K90" si="291">AVERAGE(I89:I91)</f>
        <v>11.995919724850003</v>
      </c>
      <c r="L90" s="257">
        <f t="shared" ref="L90" si="292">SQRT(SUMSQ(J91,J89))/2</f>
        <v>2.2437265281323046E-2</v>
      </c>
    </row>
    <row r="91" spans="1:12">
      <c r="A91" s="287"/>
      <c r="B91" s="253">
        <f t="shared" si="205"/>
        <v>42</v>
      </c>
      <c r="C91" s="263"/>
      <c r="D91" s="258"/>
      <c r="E91" s="294"/>
      <c r="F91" s="294"/>
      <c r="G91" s="255"/>
      <c r="H91" s="255"/>
      <c r="I91" s="256">
        <f t="shared" ref="I91" si="293">I89+(G90)</f>
        <v>12.129458173300003</v>
      </c>
      <c r="J91" s="334">
        <f t="shared" ref="J91" si="294">SQRT(H90^2+J89^2)</f>
        <v>3.187243204936125E-2</v>
      </c>
      <c r="K91" s="255"/>
      <c r="L91" s="257"/>
    </row>
    <row r="92" spans="1:12">
      <c r="A92" s="288" t="s">
        <v>252</v>
      </c>
      <c r="B92" s="253"/>
      <c r="C92" s="263">
        <f t="shared" ref="C92" si="295">(B91+B93)/2</f>
        <v>42.5</v>
      </c>
      <c r="D92" s="258">
        <f t="shared" ref="D92" si="296">B93-B91</f>
        <v>1</v>
      </c>
      <c r="E92" s="295">
        <v>0.26050196460000002</v>
      </c>
      <c r="F92" s="295">
        <v>4.0454883612923197E-3</v>
      </c>
      <c r="G92" s="255">
        <f t="shared" ref="G92" si="297">D92*E92</f>
        <v>0.26050196460000002</v>
      </c>
      <c r="H92" s="333">
        <f t="shared" ref="H92" si="298">F92*D92</f>
        <v>4.0454883612923197E-3</v>
      </c>
      <c r="I92" s="256"/>
      <c r="J92" s="256"/>
      <c r="K92" s="255">
        <f t="shared" ref="K92" si="299">AVERAGE(I91:I93)</f>
        <v>12.259709155600003</v>
      </c>
      <c r="L92" s="257">
        <f t="shared" ref="L92" si="300">SQRT(SUMSQ(J93,J91))/2</f>
        <v>2.2627802730068886E-2</v>
      </c>
    </row>
    <row r="93" spans="1:12">
      <c r="A93" s="288"/>
      <c r="B93" s="253">
        <f t="shared" si="205"/>
        <v>43</v>
      </c>
      <c r="C93" s="263"/>
      <c r="D93" s="258"/>
      <c r="E93" s="295"/>
      <c r="F93" s="295"/>
      <c r="G93" s="255"/>
      <c r="H93" s="255"/>
      <c r="I93" s="256">
        <f t="shared" ref="I93" si="301">I91+(G92)</f>
        <v>12.389960137900003</v>
      </c>
      <c r="J93" s="334">
        <f t="shared" ref="J93" si="302">SQRT(H92^2+J91^2)</f>
        <v>3.2128148107578525E-2</v>
      </c>
      <c r="K93" s="255"/>
      <c r="L93" s="257"/>
    </row>
    <row r="94" spans="1:12">
      <c r="A94" s="288" t="s">
        <v>253</v>
      </c>
      <c r="B94" s="253"/>
      <c r="C94" s="263">
        <f t="shared" ref="C94" si="303">(B93+B95)/2</f>
        <v>43.5</v>
      </c>
      <c r="D94" s="258">
        <f t="shared" ref="D94" si="304">B95-B93</f>
        <v>1</v>
      </c>
      <c r="E94" s="295">
        <v>0.267768271</v>
      </c>
      <c r="F94" s="295">
        <v>4.0281231798464639E-3</v>
      </c>
      <c r="G94" s="255">
        <f t="shared" ref="G94" si="305">D94*E94</f>
        <v>0.267768271</v>
      </c>
      <c r="H94" s="333">
        <f t="shared" ref="H94" si="306">F94*D94</f>
        <v>4.0281231798464639E-3</v>
      </c>
      <c r="I94" s="256"/>
      <c r="J94" s="256"/>
      <c r="K94" s="255">
        <f t="shared" ref="K94" si="307">AVERAGE(I93:I95)</f>
        <v>12.523844273400002</v>
      </c>
      <c r="L94" s="257">
        <f t="shared" ref="L94" si="308">SQRT(SUMSQ(J95,J93))/2</f>
        <v>2.2807134727958592E-2</v>
      </c>
    </row>
    <row r="95" spans="1:12">
      <c r="A95" s="288"/>
      <c r="B95" s="253">
        <f t="shared" si="205"/>
        <v>44</v>
      </c>
      <c r="C95" s="263"/>
      <c r="D95" s="258"/>
      <c r="E95" s="295"/>
      <c r="F95" s="295"/>
      <c r="G95" s="255"/>
      <c r="H95" s="255"/>
      <c r="I95" s="256">
        <f t="shared" ref="I95" si="309">I93+(G94)</f>
        <v>12.657728408900002</v>
      </c>
      <c r="J95" s="334">
        <f t="shared" ref="J95" si="310">SQRT(H94^2+J93^2)</f>
        <v>3.2379680004201987E-2</v>
      </c>
      <c r="K95" s="255"/>
      <c r="L95" s="257"/>
    </row>
    <row r="96" spans="1:12">
      <c r="A96" s="288" t="s">
        <v>254</v>
      </c>
      <c r="B96" s="253"/>
      <c r="C96" s="263">
        <f t="shared" ref="C96" si="311">(B95+B97)/2</f>
        <v>44.5</v>
      </c>
      <c r="D96" s="258">
        <f t="shared" ref="D96" si="312">B97-B95</f>
        <v>1</v>
      </c>
      <c r="E96" s="295">
        <v>0.26439280729999998</v>
      </c>
      <c r="F96" s="295">
        <v>4.0876986822771244E-3</v>
      </c>
      <c r="G96" s="255">
        <f t="shared" ref="G96" si="313">D96*E96</f>
        <v>0.26439280729999998</v>
      </c>
      <c r="H96" s="333">
        <f t="shared" ref="H96" si="314">F96*D96</f>
        <v>4.0876986822771244E-3</v>
      </c>
      <c r="I96" s="256"/>
      <c r="J96" s="256"/>
      <c r="K96" s="255">
        <f t="shared" ref="K96" si="315">AVERAGE(I95:I97)</f>
        <v>12.789924812550002</v>
      </c>
      <c r="L96" s="257">
        <f t="shared" ref="L96" si="316">SQRT(SUMSQ(J97,J95))/2</f>
        <v>2.2986934521952496E-2</v>
      </c>
    </row>
    <row r="97" spans="1:12">
      <c r="A97" s="288"/>
      <c r="B97" s="253">
        <f t="shared" si="205"/>
        <v>45</v>
      </c>
      <c r="C97" s="263"/>
      <c r="D97" s="258"/>
      <c r="E97" s="295"/>
      <c r="F97" s="295"/>
      <c r="G97" s="255"/>
      <c r="H97" s="255"/>
      <c r="I97" s="256">
        <f t="shared" ref="I97" si="317">I95+(G96)</f>
        <v>12.922121216200003</v>
      </c>
      <c r="J97" s="334">
        <f t="shared" ref="J97" si="318">SQRT(H96^2+J95^2)</f>
        <v>3.2636681168458415E-2</v>
      </c>
      <c r="K97" s="255"/>
      <c r="L97" s="257"/>
    </row>
    <row r="98" spans="1:12">
      <c r="A98" s="288" t="s">
        <v>255</v>
      </c>
      <c r="B98" s="253"/>
      <c r="C98" s="263">
        <f t="shared" ref="C98" si="319">(B97+B99)/2</f>
        <v>45.5</v>
      </c>
      <c r="D98" s="258">
        <f t="shared" ref="D98" si="320">B99-B97</f>
        <v>1</v>
      </c>
      <c r="E98" s="295">
        <v>0.26582325369999998</v>
      </c>
      <c r="F98" s="295">
        <v>4.1866458645544134E-3</v>
      </c>
      <c r="G98" s="255">
        <f t="shared" ref="G98" si="321">D98*E98</f>
        <v>0.26582325369999998</v>
      </c>
      <c r="H98" s="333">
        <f t="shared" ref="H98" si="322">F98*D98</f>
        <v>4.1866458645544134E-3</v>
      </c>
      <c r="I98" s="256"/>
      <c r="J98" s="256"/>
      <c r="K98" s="255">
        <f t="shared" ref="K98" si="323">AVERAGE(I97:I99)</f>
        <v>13.055032843050004</v>
      </c>
      <c r="L98" s="257">
        <f t="shared" ref="L98" si="324">SQRT(SUMSQ(J99,J97))/2</f>
        <v>2.3172364569560046E-2</v>
      </c>
    </row>
    <row r="99" spans="1:12">
      <c r="A99" s="288"/>
      <c r="B99" s="253">
        <f t="shared" si="205"/>
        <v>46</v>
      </c>
      <c r="C99" s="263"/>
      <c r="D99" s="258"/>
      <c r="E99" s="295"/>
      <c r="F99" s="295"/>
      <c r="G99" s="255"/>
      <c r="H99" s="255"/>
      <c r="I99" s="256">
        <f t="shared" ref="I99" si="325">I97+(G98)</f>
        <v>13.187944469900003</v>
      </c>
      <c r="J99" s="334">
        <f t="shared" ref="J99" si="326">SQRT(H98^2+J97^2)</f>
        <v>3.2904117695005876E-2</v>
      </c>
      <c r="K99" s="255"/>
      <c r="L99" s="257"/>
    </row>
    <row r="100" spans="1:12">
      <c r="A100" s="288" t="s">
        <v>256</v>
      </c>
      <c r="B100" s="253"/>
      <c r="C100" s="263">
        <f t="shared" ref="C100" si="327">(B99+B101)/2</f>
        <v>46.5</v>
      </c>
      <c r="D100" s="258">
        <f t="shared" ref="D100" si="328">B101-B99</f>
        <v>1</v>
      </c>
      <c r="E100" s="295">
        <v>0.27428859309999998</v>
      </c>
      <c r="F100" s="295">
        <v>4.3645496145560264E-3</v>
      </c>
      <c r="G100" s="255">
        <f t="shared" ref="G100" si="329">D100*E100</f>
        <v>0.27428859309999998</v>
      </c>
      <c r="H100" s="333">
        <f t="shared" ref="H100" si="330">F100*D100</f>
        <v>4.3645496145560264E-3</v>
      </c>
      <c r="I100" s="256"/>
      <c r="J100" s="256"/>
      <c r="K100" s="255">
        <f t="shared" ref="K100" si="331">AVERAGE(I99:I101)</f>
        <v>13.325088766450003</v>
      </c>
      <c r="L100" s="257">
        <f t="shared" ref="L100" si="332">SQRT(SUMSQ(J101,J99))/2</f>
        <v>2.3368842589608061E-2</v>
      </c>
    </row>
    <row r="101" spans="1:12">
      <c r="A101" s="288"/>
      <c r="B101" s="253">
        <f t="shared" si="205"/>
        <v>47</v>
      </c>
      <c r="C101" s="263"/>
      <c r="D101" s="258"/>
      <c r="E101" s="295"/>
      <c r="F101" s="295"/>
      <c r="G101" s="255"/>
      <c r="H101" s="255"/>
      <c r="I101" s="256">
        <f>I99+(G100)</f>
        <v>13.462233063000003</v>
      </c>
      <c r="J101" s="334">
        <f t="shared" ref="J101" si="333">SQRT(H100^2+J99^2)</f>
        <v>3.3192322224043315E-2</v>
      </c>
      <c r="K101" s="255"/>
      <c r="L101" s="257"/>
    </row>
    <row r="102" spans="1:12">
      <c r="A102" s="288" t="s">
        <v>257</v>
      </c>
      <c r="C102" s="263">
        <f t="shared" ref="C102" si="334">(B101+B103)/2</f>
        <v>47.5</v>
      </c>
      <c r="D102" s="258">
        <f t="shared" ref="D102" si="335">B103-B101</f>
        <v>1</v>
      </c>
      <c r="E102" s="295">
        <v>0.28199764189999998</v>
      </c>
      <c r="F102" s="295">
        <v>4.1329610282087982E-3</v>
      </c>
      <c r="G102" s="255">
        <f t="shared" ref="G102" si="336">D102*E102</f>
        <v>0.28199764189999998</v>
      </c>
      <c r="H102" s="333">
        <f t="shared" ref="H102" si="337">F102*D102</f>
        <v>4.1329610282087982E-3</v>
      </c>
      <c r="I102" s="256"/>
      <c r="J102" s="256"/>
      <c r="K102" s="255">
        <f t="shared" ref="K102" si="338">AVERAGE(I101:I103)</f>
        <v>13.603231883950002</v>
      </c>
      <c r="L102" s="257">
        <f t="shared" ref="L102" si="339">SQRT(SUMSQ(J103,J101))/2</f>
        <v>2.3561312973336884E-2</v>
      </c>
    </row>
    <row r="103" spans="1:12">
      <c r="A103" s="264"/>
      <c r="B103" s="253">
        <f t="shared" si="205"/>
        <v>48</v>
      </c>
      <c r="C103" s="263"/>
      <c r="D103" s="258"/>
      <c r="E103" s="295"/>
      <c r="F103" s="295"/>
      <c r="G103" s="255"/>
      <c r="H103" s="255"/>
      <c r="I103" s="256">
        <f>I101+(G102)</f>
        <v>13.744230704900003</v>
      </c>
      <c r="J103" s="334">
        <f t="shared" ref="J103" si="340">SQRT(H102^2+J101^2)</f>
        <v>3.3448641549178232E-2</v>
      </c>
      <c r="K103" s="255"/>
      <c r="L103" s="257"/>
    </row>
    <row r="104" spans="1:12">
      <c r="A104" s="264"/>
      <c r="I104" s="256"/>
      <c r="J104" s="256"/>
      <c r="K104" s="48"/>
    </row>
    <row r="105" spans="1:12">
      <c r="A105" s="264"/>
      <c r="I105" s="48"/>
      <c r="J105" s="48"/>
      <c r="K105" s="48"/>
    </row>
    <row r="106" spans="1:12">
      <c r="A106" s="264"/>
      <c r="I106" s="48"/>
      <c r="J106" s="48"/>
      <c r="K106" s="48"/>
    </row>
    <row r="107" spans="1:12">
      <c r="A107" s="264"/>
      <c r="I107" s="48"/>
      <c r="J107" s="48"/>
      <c r="K107" s="48"/>
    </row>
    <row r="108" spans="1:12">
      <c r="A108" s="264"/>
      <c r="I108" s="48"/>
      <c r="J108" s="48"/>
      <c r="K108" s="48"/>
    </row>
    <row r="109" spans="1:12">
      <c r="A109" s="264"/>
      <c r="I109" s="48"/>
      <c r="J109" s="48"/>
      <c r="K109" s="48"/>
    </row>
    <row r="110" spans="1:12">
      <c r="A110" s="264"/>
      <c r="I110" s="48"/>
      <c r="J110" s="48"/>
      <c r="K110" s="48"/>
    </row>
    <row r="111" spans="1:12">
      <c r="A111" s="264"/>
      <c r="K111" s="48"/>
    </row>
    <row r="112" spans="1:12">
      <c r="A112" s="264"/>
      <c r="K112" s="48"/>
    </row>
    <row r="113" spans="1:11">
      <c r="A113" s="264"/>
      <c r="K113" s="48"/>
    </row>
    <row r="114" spans="1:11">
      <c r="A114" s="264"/>
      <c r="K114" s="48"/>
    </row>
    <row r="115" spans="1:11">
      <c r="A115" s="264"/>
      <c r="K115" s="48"/>
    </row>
    <row r="116" spans="1:11">
      <c r="A116" s="264"/>
      <c r="K116" s="48"/>
    </row>
    <row r="117" spans="1:11">
      <c r="A117" s="264"/>
      <c r="K117" s="48"/>
    </row>
    <row r="118" spans="1:11">
      <c r="A118" s="264"/>
      <c r="K118" s="48"/>
    </row>
    <row r="119" spans="1:11">
      <c r="A119" s="264"/>
      <c r="K119" s="48"/>
    </row>
    <row r="120" spans="1:11">
      <c r="A120" s="264"/>
      <c r="K120" s="48"/>
    </row>
    <row r="121" spans="1:11">
      <c r="A121" s="264"/>
      <c r="K121" s="48"/>
    </row>
    <row r="122" spans="1:11">
      <c r="A122" s="264"/>
      <c r="K122" s="48"/>
    </row>
    <row r="123" spans="1:11">
      <c r="A123" s="264"/>
      <c r="K123" s="48"/>
    </row>
    <row r="124" spans="1:11">
      <c r="A124" s="264"/>
      <c r="K124" s="48"/>
    </row>
    <row r="125" spans="1:11">
      <c r="A125" s="264"/>
      <c r="K125" s="48"/>
    </row>
    <row r="126" spans="1:11">
      <c r="A126" s="264"/>
      <c r="K126" s="48"/>
    </row>
    <row r="127" spans="1:11">
      <c r="A127" s="264"/>
      <c r="K127" s="48"/>
    </row>
    <row r="128" spans="1:11">
      <c r="A128" s="264"/>
      <c r="K128" s="48"/>
    </row>
    <row r="129" spans="1:11">
      <c r="A129" s="264"/>
      <c r="K129" s="48"/>
    </row>
    <row r="130" spans="1:11">
      <c r="A130" s="264"/>
      <c r="K130" s="48"/>
    </row>
  </sheetData>
  <sortState xmlns:xlrd2="http://schemas.microsoft.com/office/spreadsheetml/2017/richdata2" ref="U9:X28">
    <sortCondition ref="U9"/>
  </sortState>
  <phoneticPr fontId="1" type="noConversion"/>
  <pageMargins left="0.7" right="0.7" top="0.98" bottom="0.75" header="0.5" footer="0.5"/>
  <pageSetup paperSize="9" scale="78" fitToHeight="14" orientation="portrait" horizontalDpi="300" verticalDpi="300"/>
  <headerFooter>
    <oddHeader>&amp;F</oddHeader>
    <oddFooter>&amp;A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T441"/>
  <sheetViews>
    <sheetView tabSelected="1" zoomScale="60" zoomScaleNormal="60" zoomScaleSheetLayoutView="100" workbookViewId="0">
      <selection activeCell="F5" sqref="F5"/>
    </sheetView>
  </sheetViews>
  <sheetFormatPr defaultColWidth="10.6328125" defaultRowHeight="13"/>
  <cols>
    <col min="1" max="1" width="10.6328125" style="11"/>
    <col min="2" max="3" width="10.6328125" style="11" customWidth="1"/>
    <col min="4" max="4" width="9.6328125" style="11" customWidth="1"/>
    <col min="5" max="5" width="10.6328125" style="11" customWidth="1"/>
    <col min="6" max="6" width="9.6328125" style="11" customWidth="1"/>
    <col min="7" max="7" width="10.6328125" style="132" customWidth="1"/>
    <col min="8" max="8" width="10.6328125" style="133" customWidth="1"/>
    <col min="9" max="10" width="9.6328125" style="11" customWidth="1"/>
    <col min="11" max="12" width="9.6328125" style="138" customWidth="1"/>
    <col min="13" max="14" width="9.6328125" style="12" customWidth="1"/>
    <col min="15" max="15" width="10.6328125" style="11" customWidth="1"/>
    <col min="16" max="16" width="9.6328125" style="11" customWidth="1"/>
    <col min="17" max="17" width="10.6328125" style="11" customWidth="1"/>
    <col min="18" max="20" width="9.6328125" style="11" customWidth="1"/>
    <col min="21" max="21" width="10.6328125" style="11" customWidth="1"/>
    <col min="22" max="22" width="9.6328125" style="11" customWidth="1"/>
    <col min="23" max="23" width="10.6328125" style="11" customWidth="1"/>
    <col min="24" max="24" width="9.6328125" style="11" customWidth="1"/>
    <col min="25" max="16384" width="10.6328125" style="11"/>
  </cols>
  <sheetData>
    <row r="1" spans="1:38" ht="14">
      <c r="B1" s="62"/>
      <c r="C1" s="65"/>
      <c r="D1" s="65"/>
      <c r="E1" s="65"/>
      <c r="F1" s="65"/>
      <c r="G1" s="127" t="s">
        <v>62</v>
      </c>
      <c r="H1" s="114"/>
      <c r="I1" s="62"/>
      <c r="J1" s="62"/>
      <c r="K1" s="229" t="s">
        <v>63</v>
      </c>
      <c r="L1" s="134"/>
      <c r="M1" s="63"/>
      <c r="N1" s="63"/>
      <c r="O1" s="62"/>
    </row>
    <row r="2" spans="1:38" s="23" customFormat="1" ht="18" customHeight="1">
      <c r="A2" s="42" t="s">
        <v>64</v>
      </c>
      <c r="B2" s="66" t="s">
        <v>47</v>
      </c>
      <c r="C2" s="67" t="s">
        <v>22</v>
      </c>
      <c r="D2" s="67" t="s">
        <v>65</v>
      </c>
      <c r="E2" s="67" t="s">
        <v>66</v>
      </c>
      <c r="F2" s="67" t="s">
        <v>67</v>
      </c>
      <c r="G2" s="128" t="s">
        <v>68</v>
      </c>
      <c r="H2" s="129" t="s">
        <v>69</v>
      </c>
      <c r="I2" s="66" t="s">
        <v>70</v>
      </c>
      <c r="J2" s="66" t="s">
        <v>71</v>
      </c>
      <c r="K2" s="135" t="s">
        <v>72</v>
      </c>
      <c r="L2" s="135" t="s">
        <v>73</v>
      </c>
      <c r="M2" s="68" t="s">
        <v>64</v>
      </c>
      <c r="N2" s="68" t="s">
        <v>40</v>
      </c>
      <c r="O2" s="66" t="s">
        <v>74</v>
      </c>
      <c r="P2" s="335" t="s">
        <v>75</v>
      </c>
      <c r="Q2" s="165"/>
    </row>
    <row r="3" spans="1:38" s="42" customFormat="1" ht="18" customHeight="1">
      <c r="A3" s="42" t="s">
        <v>76</v>
      </c>
      <c r="B3" s="217"/>
      <c r="C3" s="218" t="s">
        <v>77</v>
      </c>
      <c r="D3" s="217"/>
      <c r="E3" s="218" t="s">
        <v>77</v>
      </c>
      <c r="F3" s="217"/>
      <c r="G3" s="130" t="s">
        <v>77</v>
      </c>
      <c r="H3" s="131"/>
      <c r="I3" s="70" t="s">
        <v>77</v>
      </c>
      <c r="J3" s="69"/>
      <c r="K3" s="136" t="s">
        <v>78</v>
      </c>
      <c r="L3" s="136"/>
      <c r="M3" s="71" t="s">
        <v>79</v>
      </c>
      <c r="N3" s="112" t="s">
        <v>80</v>
      </c>
      <c r="O3" s="69"/>
      <c r="Q3" s="11"/>
    </row>
    <row r="4" spans="1:38" ht="20.5">
      <c r="A4" s="266"/>
      <c r="B4" s="266"/>
      <c r="C4" s="276"/>
      <c r="D4" s="276"/>
      <c r="E4" s="276"/>
      <c r="F4" s="276"/>
      <c r="G4" s="267"/>
      <c r="H4" s="268"/>
      <c r="I4" s="319">
        <f>'C0 CA'!B13</f>
        <v>12.840732389968926</v>
      </c>
      <c r="J4" s="319">
        <f>'C0 CA'!C13</f>
        <v>0.99407025623513356</v>
      </c>
      <c r="K4" s="134"/>
      <c r="L4" s="134"/>
      <c r="M4" s="268"/>
      <c r="N4" s="270"/>
      <c r="O4" s="271"/>
      <c r="P4" s="133"/>
    </row>
    <row r="5" spans="1:38" ht="14.5">
      <c r="A5" s="266">
        <f>Masses!C8</f>
        <v>0.5</v>
      </c>
      <c r="B5" s="266" t="str">
        <f>Masses!A8</f>
        <v>0-1</v>
      </c>
      <c r="C5" s="296">
        <v>11.890991879875299</v>
      </c>
      <c r="D5" s="296">
        <v>7.2182090464956994E-2</v>
      </c>
      <c r="E5" s="297">
        <v>0.7</v>
      </c>
      <c r="F5" s="297">
        <v>7.2470619323016267E-2</v>
      </c>
      <c r="G5" s="260">
        <f t="shared" ref="G5:G23" si="0">C5-E5</f>
        <v>11.1909918798753</v>
      </c>
      <c r="H5" s="113">
        <f>SQRT(SUMSQ(D5,F5))</f>
        <v>0.10228511548095733</v>
      </c>
      <c r="I5" s="53"/>
      <c r="J5" s="63"/>
      <c r="K5" s="134">
        <f>(G5*Masses!G8)</f>
        <v>2.5303271651818511</v>
      </c>
      <c r="L5" s="134">
        <f>K5*SQRT(SUMSQ(H5/G5,Masses!H8/Masses!G8))</f>
        <v>5.8956529051819639E-2</v>
      </c>
      <c r="M5" s="113">
        <f>A5</f>
        <v>0.5</v>
      </c>
      <c r="N5" s="113">
        <f>Masses!K8</f>
        <v>0.11305196145</v>
      </c>
      <c r="O5" s="113">
        <f>LN(G5)</f>
        <v>2.4151091582414264</v>
      </c>
      <c r="P5" s="113">
        <f>(H5/G5)</f>
        <v>9.1399508264228199E-3</v>
      </c>
      <c r="R5" s="42"/>
      <c r="S5" s="42"/>
      <c r="T5" s="42"/>
    </row>
    <row r="6" spans="1:38" ht="14.5">
      <c r="A6" s="266"/>
      <c r="B6" s="266"/>
      <c r="C6" s="296"/>
      <c r="D6" s="296"/>
      <c r="E6" s="297"/>
      <c r="F6" s="297"/>
      <c r="G6" s="269"/>
      <c r="H6" s="269"/>
      <c r="I6" s="63">
        <f>(G5+G7)/2</f>
        <v>10.796377435953001</v>
      </c>
      <c r="J6" s="309">
        <f>SQRT(SUMSQ(H5,H7))/2</f>
        <v>7.2326498949826776E-2</v>
      </c>
      <c r="K6" s="137"/>
      <c r="L6" s="134"/>
      <c r="M6" s="113"/>
      <c r="N6" s="113"/>
      <c r="O6" s="114"/>
      <c r="P6" s="114"/>
    </row>
    <row r="7" spans="1:38" ht="14.5">
      <c r="A7" s="266">
        <f>Masses!C10</f>
        <v>1.5</v>
      </c>
      <c r="B7" s="266" t="str">
        <f>Masses!A10</f>
        <v xml:space="preserve"> 1-2</v>
      </c>
      <c r="C7" s="296">
        <v>11.1017629920307</v>
      </c>
      <c r="D7" s="296">
        <v>7.2182091181558702E-2</v>
      </c>
      <c r="E7" s="297">
        <v>0.7</v>
      </c>
      <c r="F7" s="297">
        <v>7.2470619323016267E-2</v>
      </c>
      <c r="G7" s="260">
        <f t="shared" si="0"/>
        <v>10.401762992030701</v>
      </c>
      <c r="H7" s="113">
        <f>SQRT(SUMSQ(D7,F7))</f>
        <v>0.10228511598665954</v>
      </c>
      <c r="I7" s="53"/>
      <c r="J7" s="63"/>
      <c r="K7" s="134">
        <f>(G7*Masses!G10)</f>
        <v>2.8572425225518385</v>
      </c>
      <c r="L7" s="134">
        <f>K7*SQRT(SUMSQ(H7/G7,Masses!H10/Masses!G10))</f>
        <v>5.3001915001419313E-2</v>
      </c>
      <c r="M7" s="113">
        <f>A7</f>
        <v>1.5</v>
      </c>
      <c r="N7" s="113">
        <f>Masses!K10</f>
        <v>0.36344806950000003</v>
      </c>
      <c r="O7" s="113">
        <f>LN(G7)</f>
        <v>2.3419753102451861</v>
      </c>
      <c r="P7" s="113">
        <f t="shared" ref="P7" si="1">(H7/G7)</f>
        <v>9.8334403566996444E-3</v>
      </c>
      <c r="R7" s="42"/>
      <c r="S7" s="42"/>
      <c r="T7" s="42"/>
      <c r="AA7" s="12"/>
      <c r="AB7" s="12"/>
    </row>
    <row r="8" spans="1:38" ht="14.5">
      <c r="A8" s="266"/>
      <c r="B8" s="266"/>
      <c r="C8" s="296"/>
      <c r="D8" s="296"/>
      <c r="E8" s="297"/>
      <c r="F8" s="297"/>
      <c r="G8" s="269"/>
      <c r="H8" s="269"/>
      <c r="I8" s="63">
        <f>(G7+G9)/2</f>
        <v>10.983338246848751</v>
      </c>
      <c r="J8" s="63">
        <f>SQRT(SUMSQ(H7,H9))/2</f>
        <v>7.2326498497072261E-2</v>
      </c>
      <c r="K8" s="137"/>
      <c r="L8" s="134"/>
      <c r="M8" s="113"/>
      <c r="N8" s="113"/>
      <c r="O8" s="114"/>
      <c r="P8" s="114"/>
      <c r="AA8" s="12"/>
      <c r="AB8" s="12"/>
    </row>
    <row r="9" spans="1:38" ht="14.5">
      <c r="A9" s="266">
        <f>Masses!C12</f>
        <v>2.5</v>
      </c>
      <c r="B9" s="266" t="str">
        <f>Masses!A12</f>
        <v xml:space="preserve"> 2-3</v>
      </c>
      <c r="C9" s="296">
        <v>12.2649135016668</v>
      </c>
      <c r="D9" s="296">
        <v>7.2182088650315807E-2</v>
      </c>
      <c r="E9" s="297">
        <v>0.7</v>
      </c>
      <c r="F9" s="297">
        <v>7.2470619323016267E-2</v>
      </c>
      <c r="G9" s="260">
        <f t="shared" si="0"/>
        <v>11.564913501666801</v>
      </c>
      <c r="H9" s="113">
        <f>SQRT(SUMSQ(D9,F9))</f>
        <v>0.10228511420037419</v>
      </c>
      <c r="I9" s="53"/>
      <c r="J9" s="63"/>
      <c r="K9" s="134">
        <f>(G9*Masses!G12)</f>
        <v>3.2888050647227649</v>
      </c>
      <c r="L9" s="134">
        <f>K9*SQRT(SUMSQ(H9/G9,Masses!H12/Masses!G12))</f>
        <v>6.0980118018771831E-2</v>
      </c>
      <c r="M9" s="113">
        <f>A9</f>
        <v>2.5</v>
      </c>
      <c r="N9" s="113">
        <f>Masses!K12</f>
        <v>0.64298113364999998</v>
      </c>
      <c r="O9" s="113">
        <f>LN(G9)</f>
        <v>2.4479758163356573</v>
      </c>
      <c r="P9" s="113">
        <f t="shared" ref="P9" si="2">(H9/G9)</f>
        <v>8.8444340016578821E-3</v>
      </c>
      <c r="R9" s="42"/>
      <c r="S9" s="42"/>
      <c r="T9" s="42"/>
      <c r="AA9" s="12"/>
      <c r="AB9" s="12"/>
    </row>
    <row r="10" spans="1:38" ht="14.5">
      <c r="A10" s="266"/>
      <c r="B10" s="266"/>
      <c r="C10" s="296"/>
      <c r="D10" s="296"/>
      <c r="E10" s="297"/>
      <c r="F10" s="297"/>
      <c r="G10" s="269"/>
      <c r="H10" s="269"/>
      <c r="I10" s="63">
        <f>(G9+G11)/2</f>
        <v>11.249075962501152</v>
      </c>
      <c r="J10" s="63">
        <f>SQRT(SUMSQ(H9,H11))/2</f>
        <v>7.232649813101949E-2</v>
      </c>
      <c r="K10" s="137"/>
      <c r="L10" s="134"/>
      <c r="M10" s="113"/>
      <c r="N10" s="113"/>
      <c r="O10" s="114"/>
      <c r="P10" s="114"/>
      <c r="AA10" s="12"/>
      <c r="AB10" s="12"/>
    </row>
    <row r="11" spans="1:38" ht="14.5">
      <c r="A11" s="266">
        <f>Masses!C14</f>
        <v>3.5</v>
      </c>
      <c r="B11" s="266" t="str">
        <f>Masses!A14</f>
        <v xml:space="preserve"> 3-4</v>
      </c>
      <c r="C11" s="296">
        <v>11.6332384233355</v>
      </c>
      <c r="D11" s="296">
        <v>7.2182089714418293E-2</v>
      </c>
      <c r="E11" s="297">
        <v>0.7</v>
      </c>
      <c r="F11" s="297">
        <v>7.2470619323016267E-2</v>
      </c>
      <c r="G11" s="260">
        <f t="shared" si="0"/>
        <v>10.933238423335501</v>
      </c>
      <c r="H11" s="113">
        <f>SQRT(SUMSQ(D11,F11))</f>
        <v>0.10228511495130595</v>
      </c>
      <c r="I11" s="53"/>
      <c r="J11" s="63"/>
      <c r="K11" s="134">
        <f>(G11*Masses!G14)</f>
        <v>3.1963807069881782</v>
      </c>
      <c r="L11" s="134">
        <f>K11*SQRT(SUMSQ(H11/G11,Masses!H14/Masses!G14))</f>
        <v>5.9179121397400031E-2</v>
      </c>
      <c r="M11" s="113">
        <f>A11</f>
        <v>3.5</v>
      </c>
      <c r="N11" s="113">
        <f>Masses!K14</f>
        <v>0.93134726709999993</v>
      </c>
      <c r="O11" s="113">
        <f>LN(G11)</f>
        <v>2.3918075458918255</v>
      </c>
      <c r="P11" s="113">
        <f t="shared" ref="P11" si="3">(H11/G11)</f>
        <v>9.3554270922138107E-3</v>
      </c>
      <c r="R11" s="42"/>
      <c r="S11" s="42"/>
      <c r="T11" s="42"/>
      <c r="AA11" s="12"/>
      <c r="AB11" s="12"/>
    </row>
    <row r="12" spans="1:38" ht="14.5">
      <c r="A12" s="266"/>
      <c r="B12" s="266"/>
      <c r="C12" s="296"/>
      <c r="D12" s="296"/>
      <c r="E12" s="297"/>
      <c r="F12" s="297"/>
      <c r="G12" s="269"/>
      <c r="H12" s="269"/>
      <c r="I12" s="63">
        <f>(G11+G13)/2</f>
        <v>10.822891560665601</v>
      </c>
      <c r="J12" s="63">
        <f>SQRT(SUMSQ(H11,H13))/2</f>
        <v>7.2326498643284748E-2</v>
      </c>
      <c r="K12" s="137"/>
      <c r="L12" s="134"/>
      <c r="M12" s="113"/>
      <c r="N12" s="113"/>
      <c r="O12" s="114"/>
      <c r="P12" s="114"/>
      <c r="AA12" s="12"/>
      <c r="AB12" s="12"/>
    </row>
    <row r="13" spans="1:38" ht="14.5">
      <c r="A13" s="266">
        <f>Masses!C16</f>
        <v>4.5</v>
      </c>
      <c r="B13" s="266" t="str">
        <f>Masses!A16</f>
        <v xml:space="preserve"> 4-5</v>
      </c>
      <c r="C13" s="296">
        <v>11.412544697995701</v>
      </c>
      <c r="D13" s="296">
        <v>7.2182090703476198E-2</v>
      </c>
      <c r="E13" s="297">
        <v>0.7</v>
      </c>
      <c r="F13" s="297">
        <v>7.2470619323016267E-2</v>
      </c>
      <c r="G13" s="260">
        <f t="shared" si="0"/>
        <v>10.712544697995702</v>
      </c>
      <c r="H13" s="113">
        <f>SQRT(SUMSQ(D13,F13))</f>
        <v>0.10228511564927913</v>
      </c>
      <c r="I13" s="53"/>
      <c r="J13" s="63"/>
      <c r="K13" s="134">
        <f>(G13*Masses!G16)</f>
        <v>3.1668393901924157</v>
      </c>
      <c r="L13" s="134">
        <f>K13*SQRT(SUMSQ(H13/G13,Masses!H16/Masses!G16))</f>
        <v>5.8177174640439297E-2</v>
      </c>
      <c r="M13" s="113">
        <f>A13</f>
        <v>4.5</v>
      </c>
      <c r="N13" s="113">
        <f>Masses!K16</f>
        <v>1.2253343395499998</v>
      </c>
      <c r="O13" s="113">
        <f>LN(G13)</f>
        <v>2.3714154564235437</v>
      </c>
      <c r="P13" s="113">
        <f t="shared" ref="P13" si="4">(H13/G13)</f>
        <v>9.5481623211725302E-3</v>
      </c>
      <c r="R13" s="42"/>
      <c r="S13" s="42"/>
      <c r="T13" s="42"/>
      <c r="AA13" s="12"/>
      <c r="AB13" s="12"/>
    </row>
    <row r="14" spans="1:38" ht="14.5">
      <c r="A14" s="266"/>
      <c r="B14" s="266"/>
      <c r="C14" s="296"/>
      <c r="D14" s="296"/>
      <c r="E14" s="297"/>
      <c r="F14" s="297"/>
      <c r="G14" s="269"/>
      <c r="H14" s="269"/>
      <c r="I14" s="63">
        <f>(G13+G15)/2</f>
        <v>10.266014271771301</v>
      </c>
      <c r="J14" s="63">
        <f>SQRT(SUMSQ(H13,H15))/2</f>
        <v>7.2326499966381838E-2</v>
      </c>
      <c r="K14" s="137"/>
      <c r="L14" s="134"/>
      <c r="M14" s="113"/>
      <c r="N14" s="113"/>
      <c r="O14" s="114"/>
      <c r="P14" s="114"/>
      <c r="AA14" s="12"/>
      <c r="AB14" s="12"/>
    </row>
    <row r="15" spans="1:38" ht="14.5">
      <c r="A15" s="266">
        <f>Masses!C18</f>
        <v>5.5</v>
      </c>
      <c r="B15" s="266" t="str">
        <f>Masses!A18</f>
        <v xml:space="preserve"> 5-6</v>
      </c>
      <c r="C15" s="296">
        <v>10.519483845546899</v>
      </c>
      <c r="D15" s="296">
        <v>7.2182095017394601E-2</v>
      </c>
      <c r="E15" s="297">
        <v>0.7</v>
      </c>
      <c r="F15" s="297">
        <v>7.2470619323016267E-2</v>
      </c>
      <c r="G15" s="260">
        <f t="shared" si="0"/>
        <v>9.8194838455469</v>
      </c>
      <c r="H15" s="113">
        <f>SQRT(SUMSQ(D15,F15))</f>
        <v>0.10228511869358965</v>
      </c>
      <c r="I15" s="63"/>
      <c r="J15" s="63"/>
      <c r="K15" s="134">
        <f>(G15*Masses!G18)</f>
        <v>2.8942735456043795</v>
      </c>
      <c r="L15" s="134">
        <f>K15*SQRT(SUMSQ(H15/G15,Masses!H18/Masses!G18))</f>
        <v>5.5647089504973955E-2</v>
      </c>
      <c r="M15" s="113">
        <f>A15</f>
        <v>5.5</v>
      </c>
      <c r="N15" s="113">
        <f>Masses!K18</f>
        <v>1.5205182124499999</v>
      </c>
      <c r="O15" s="113">
        <f>LN(G15)</f>
        <v>2.2843685594316989</v>
      </c>
      <c r="P15" s="113">
        <f t="shared" ref="P15" si="5">(H15/G15)</f>
        <v>1.041654737687415E-2</v>
      </c>
      <c r="R15" s="42"/>
      <c r="S15" s="42"/>
      <c r="T15" s="42"/>
      <c r="AA15" s="12"/>
      <c r="AB15" s="12"/>
    </row>
    <row r="16" spans="1:38" ht="14.5">
      <c r="A16" s="266"/>
      <c r="B16" s="266"/>
      <c r="C16" s="296"/>
      <c r="D16" s="296"/>
      <c r="E16" s="297"/>
      <c r="F16" s="297"/>
      <c r="G16" s="260"/>
      <c r="H16" s="113"/>
      <c r="I16" s="64">
        <f>(G15+G17)/2</f>
        <v>9.7546532475523513</v>
      </c>
      <c r="J16" s="64">
        <f>SQRT(SUMSQ(H15,H17))/2</f>
        <v>7.2326501520305717E-2</v>
      </c>
      <c r="K16" s="137"/>
      <c r="L16" s="134"/>
      <c r="M16" s="113"/>
      <c r="N16" s="113"/>
      <c r="O16" s="114"/>
      <c r="P16" s="114"/>
      <c r="AA16" s="12"/>
      <c r="AB16" s="12"/>
      <c r="AK16" s="39"/>
      <c r="AL16" s="39"/>
    </row>
    <row r="17" spans="1:38" ht="14.5">
      <c r="A17" s="266">
        <f>Masses!C20</f>
        <v>6.5</v>
      </c>
      <c r="B17" s="266" t="str">
        <f>Masses!A20</f>
        <v xml:space="preserve"> 6-7</v>
      </c>
      <c r="C17" s="296">
        <v>10.3898226495578</v>
      </c>
      <c r="D17" s="296">
        <v>7.2182096931606807E-2</v>
      </c>
      <c r="E17" s="297">
        <v>0.7</v>
      </c>
      <c r="F17" s="297">
        <v>7.2470619323016267E-2</v>
      </c>
      <c r="G17" s="260">
        <f t="shared" si="0"/>
        <v>9.6898226495578008</v>
      </c>
      <c r="H17" s="113">
        <f>SQRT(SUMSQ(D17,F17))</f>
        <v>0.1022851200444396</v>
      </c>
      <c r="I17" s="64"/>
      <c r="J17" s="64"/>
      <c r="K17" s="134">
        <f>(G17*Masses!G20)</f>
        <v>2.8013675269957288</v>
      </c>
      <c r="L17" s="134">
        <f>K17*SQRT(SUMSQ(H17/G17,Masses!H20/Masses!G20))</f>
        <v>5.5570534325309874E-2</v>
      </c>
      <c r="M17" s="113">
        <f>A17</f>
        <v>6.5</v>
      </c>
      <c r="N17" s="113">
        <f>Masses!K20</f>
        <v>1.81244428245</v>
      </c>
      <c r="O17" s="113">
        <f>LN(G17)</f>
        <v>2.271076123315968</v>
      </c>
      <c r="P17" s="113">
        <f t="shared" ref="P17" si="6">(H17/G17)</f>
        <v>1.0555933141780199E-2</v>
      </c>
      <c r="R17" s="42"/>
      <c r="S17" s="42"/>
      <c r="T17" s="42"/>
      <c r="AA17" s="12"/>
      <c r="AB17" s="12"/>
    </row>
    <row r="18" spans="1:38" ht="14.5">
      <c r="A18" s="266"/>
      <c r="B18" s="266"/>
      <c r="C18" s="296"/>
      <c r="D18" s="296"/>
      <c r="E18" s="297"/>
      <c r="F18" s="297"/>
      <c r="G18" s="260"/>
      <c r="H18" s="113"/>
      <c r="I18" s="64">
        <f>(G17+G19)/2</f>
        <v>9.0905777691329259</v>
      </c>
      <c r="J18" s="64">
        <f>SQRT(SUMSQ(H17,H19))/2</f>
        <v>7.2326504320559135E-2</v>
      </c>
      <c r="K18" s="137"/>
      <c r="L18" s="134"/>
      <c r="M18" s="113"/>
      <c r="N18" s="113"/>
      <c r="O18" s="114"/>
      <c r="P18" s="114"/>
      <c r="X18" s="39"/>
    </row>
    <row r="19" spans="1:38" ht="14.5">
      <c r="A19" s="266">
        <f>Masses!C22</f>
        <v>7.5</v>
      </c>
      <c r="B19" s="266" t="str">
        <f>Masses!A22</f>
        <v xml:space="preserve"> 7-8</v>
      </c>
      <c r="C19" s="296">
        <v>9.1913328887080503</v>
      </c>
      <c r="D19" s="296">
        <v>7.2182106240816196E-2</v>
      </c>
      <c r="E19" s="297">
        <v>0.7</v>
      </c>
      <c r="F19" s="297">
        <v>7.2470619323016267E-2</v>
      </c>
      <c r="G19" s="113">
        <f t="shared" si="0"/>
        <v>8.491332888708051</v>
      </c>
      <c r="H19" s="113">
        <f>SQRT(SUMSQ(D19,F19))</f>
        <v>0.10228512661390225</v>
      </c>
      <c r="I19" s="64"/>
      <c r="J19" s="64"/>
      <c r="K19" s="134">
        <f>(G19*Masses!G22)</f>
        <v>2.4006503233062846</v>
      </c>
      <c r="L19" s="134">
        <f>K19*SQRT(SUMSQ(H19/G19,Masses!H22/Masses!G22))</f>
        <v>5.0532052179942069E-2</v>
      </c>
      <c r="M19" s="113">
        <v>7.5</v>
      </c>
      <c r="N19" s="113">
        <f>Masses!K22</f>
        <v>2.0983551990000002</v>
      </c>
      <c r="O19" s="113">
        <f>LN(G19)</f>
        <v>2.1390459831372111</v>
      </c>
      <c r="P19" s="113">
        <f t="shared" ref="P19" si="7">(H19/G19)</f>
        <v>1.204582695726405E-2</v>
      </c>
      <c r="R19" s="42"/>
      <c r="S19" s="42"/>
      <c r="T19" s="42"/>
    </row>
    <row r="20" spans="1:38" ht="14.5">
      <c r="A20" s="266"/>
      <c r="B20" s="266"/>
      <c r="C20" s="296"/>
      <c r="D20" s="296"/>
      <c r="E20" s="297"/>
      <c r="F20" s="297"/>
      <c r="G20" s="113"/>
      <c r="H20" s="113"/>
      <c r="I20" s="64">
        <f>(G19+G21)/2</f>
        <v>7.2985301743898408</v>
      </c>
      <c r="J20" s="64">
        <f>SQRT(SUMSQ(H19,H21))/2</f>
        <v>7.2326510017423337E-2</v>
      </c>
      <c r="K20" s="137"/>
      <c r="L20" s="134"/>
      <c r="M20" s="113"/>
      <c r="N20" s="113"/>
      <c r="O20" s="114"/>
      <c r="P20" s="114"/>
      <c r="AK20" s="39"/>
      <c r="AL20" s="39"/>
    </row>
    <row r="21" spans="1:38" ht="14.5">
      <c r="A21" s="266">
        <f>Masses!C24</f>
        <v>8.5</v>
      </c>
      <c r="B21" s="266" t="str">
        <f>Masses!A24</f>
        <v xml:space="preserve"> 8-9</v>
      </c>
      <c r="C21" s="296">
        <v>6.8057274600716298</v>
      </c>
      <c r="D21" s="296">
        <v>7.2182119764649499E-2</v>
      </c>
      <c r="E21" s="297">
        <v>0.7</v>
      </c>
      <c r="F21" s="297">
        <v>7.2470619323016267E-2</v>
      </c>
      <c r="G21" s="113">
        <f t="shared" si="0"/>
        <v>6.1057274600716296</v>
      </c>
      <c r="H21" s="113">
        <f>SQRT(SUMSQ(D21,F21))</f>
        <v>0.10228513615760475</v>
      </c>
      <c r="I21" s="64"/>
      <c r="J21" s="64"/>
      <c r="K21" s="134">
        <f>(G21*Masses!G24)</f>
        <v>1.7310701687898113</v>
      </c>
      <c r="L21" s="134">
        <f>K21*SQRT(SUMSQ(H21/G21,Masses!H24/Masses!G24))</f>
        <v>4.1626380421781732E-2</v>
      </c>
      <c r="M21" s="113">
        <v>8.5</v>
      </c>
      <c r="N21" s="113">
        <f>Masses!K24</f>
        <v>2.3814719588999997</v>
      </c>
      <c r="O21" s="113">
        <f>LN(G21)</f>
        <v>1.8092272585427991</v>
      </c>
      <c r="P21" s="113">
        <f t="shared" ref="P21" si="8">(H21/G21)</f>
        <v>1.6752325881968663E-2</v>
      </c>
      <c r="R21" s="42"/>
      <c r="S21" s="42"/>
      <c r="T21" s="42"/>
    </row>
    <row r="22" spans="1:38" ht="14.5">
      <c r="A22" s="266"/>
      <c r="B22" s="266"/>
      <c r="C22" s="296"/>
      <c r="D22" s="296"/>
      <c r="E22" s="297"/>
      <c r="F22" s="297"/>
      <c r="G22" s="113"/>
      <c r="H22" s="113"/>
      <c r="I22" s="64">
        <f>(G21+G23)/2</f>
        <v>6.128204430201345</v>
      </c>
      <c r="J22" s="64">
        <f>SQRT(SUMSQ(H21,H23))/2</f>
        <v>7.2326513966461226E-2</v>
      </c>
      <c r="K22" s="137"/>
      <c r="L22" s="134"/>
      <c r="M22" s="113"/>
      <c r="N22" s="113"/>
      <c r="O22" s="114"/>
      <c r="P22" s="114"/>
      <c r="AA22" s="54"/>
      <c r="AB22" s="54"/>
      <c r="AC22" s="54"/>
    </row>
    <row r="23" spans="1:38" ht="14.5">
      <c r="A23" s="266">
        <f>Masses!C26</f>
        <v>9.5</v>
      </c>
      <c r="B23" s="266" t="str">
        <f>Masses!A26</f>
        <v xml:space="preserve"> 9-10</v>
      </c>
      <c r="C23" s="296">
        <v>6.8506814003310597</v>
      </c>
      <c r="D23" s="296">
        <v>7.2182122068567403E-2</v>
      </c>
      <c r="E23" s="297">
        <v>0.7</v>
      </c>
      <c r="F23" s="297">
        <v>7.2470619323016267E-2</v>
      </c>
      <c r="G23" s="113">
        <f t="shared" si="0"/>
        <v>6.1506814003310595</v>
      </c>
      <c r="H23" s="113">
        <f>SQRT(SUMSQ(D23,F23))</f>
        <v>0.10228513778346834</v>
      </c>
      <c r="I23" s="64"/>
      <c r="J23" s="64"/>
      <c r="K23" s="134">
        <f>(G23*Masses!G26)</f>
        <v>1.623866010298231</v>
      </c>
      <c r="L23" s="134">
        <f>K23*SQRT(SUMSQ(H23/G23,Masses!H26/Masses!G26))</f>
        <v>4.0326174236202411E-2</v>
      </c>
      <c r="M23" s="113">
        <v>9.5</v>
      </c>
      <c r="N23" s="113">
        <f>Masses!K26</f>
        <v>2.6552368568000002</v>
      </c>
      <c r="O23" s="113">
        <f>LN(G23)</f>
        <v>1.8165628724827125</v>
      </c>
      <c r="P23" s="113">
        <f t="shared" ref="P23" si="9">(H23/G23)</f>
        <v>1.6629887182575066E-2</v>
      </c>
      <c r="R23" s="42"/>
      <c r="S23" s="42"/>
      <c r="T23" s="42"/>
      <c r="AA23" s="54"/>
      <c r="AB23" s="54"/>
      <c r="AC23" s="54"/>
    </row>
    <row r="24" spans="1:38" ht="14.5">
      <c r="A24" s="266"/>
      <c r="B24" s="266"/>
      <c r="C24" s="296"/>
      <c r="D24" s="296"/>
      <c r="E24" s="297"/>
      <c r="F24" s="297"/>
      <c r="G24" s="113"/>
      <c r="H24" s="113"/>
      <c r="I24" s="64">
        <f>(G23+G25)/2</f>
        <v>5.9539269232207843</v>
      </c>
      <c r="J24" s="64">
        <f>SQRT(SUMSQ(H23,H25))/2</f>
        <v>7.2326517292352108E-2</v>
      </c>
      <c r="K24" s="137"/>
      <c r="L24" s="134"/>
      <c r="M24" s="113"/>
      <c r="N24" s="113"/>
      <c r="O24" s="114"/>
      <c r="P24" s="114"/>
      <c r="AA24" s="54"/>
      <c r="AB24" s="54"/>
      <c r="AC24" s="54"/>
      <c r="AK24" s="39"/>
      <c r="AL24" s="39"/>
    </row>
    <row r="25" spans="1:38" ht="14.5">
      <c r="A25" s="266">
        <f>Masses!C28</f>
        <v>10.5</v>
      </c>
      <c r="B25" s="266" t="str">
        <f>Masses!A28</f>
        <v xml:space="preserve"> 10-11</v>
      </c>
      <c r="C25" s="296">
        <v>6.4571724461105102</v>
      </c>
      <c r="D25" s="296">
        <v>7.2182133094824699E-2</v>
      </c>
      <c r="E25" s="297">
        <v>0.7</v>
      </c>
      <c r="F25" s="297">
        <v>7.2470619323016267E-2</v>
      </c>
      <c r="G25" s="113">
        <f>C25-E25</f>
        <v>5.75717244611051</v>
      </c>
      <c r="H25" s="113">
        <f>SQRT(SUMSQ(D25,F25))</f>
        <v>0.10228514556464456</v>
      </c>
      <c r="I25" s="64"/>
      <c r="J25" s="64"/>
      <c r="K25" s="134">
        <f>(G25*Masses!G28)</f>
        <v>1.5498799380825214</v>
      </c>
      <c r="L25" s="134">
        <f>K25*SQRT(SUMSQ(H25/G25,Masses!H28/Masses!G28))</f>
        <v>3.9347986738534638E-2</v>
      </c>
      <c r="M25" s="113">
        <v>10.5</v>
      </c>
      <c r="N25" s="113">
        <f>Masses!K28</f>
        <v>2.9218481233000002</v>
      </c>
      <c r="O25" s="113">
        <f>LN(G25)</f>
        <v>1.7504464594070341</v>
      </c>
      <c r="P25" s="113">
        <f t="shared" ref="P25" si="10">(H25/G25)</f>
        <v>1.7766559282716539E-2</v>
      </c>
      <c r="R25" s="42"/>
      <c r="S25" s="42"/>
      <c r="T25" s="42"/>
      <c r="AA25" s="54"/>
      <c r="AB25" s="54"/>
      <c r="AC25" s="54"/>
    </row>
    <row r="26" spans="1:38" ht="14.5">
      <c r="A26" s="266"/>
      <c r="B26" s="266"/>
      <c r="C26" s="296"/>
      <c r="D26" s="296"/>
      <c r="E26" s="297"/>
      <c r="F26" s="297"/>
      <c r="G26" s="113"/>
      <c r="H26" s="113"/>
      <c r="I26" s="64">
        <f>(G25+G27)/2</f>
        <v>5.1336713214234351</v>
      </c>
      <c r="J26" s="64">
        <f>SQRT(SUMSQ(H25,H27))/2</f>
        <v>7.2326532657888895E-2</v>
      </c>
      <c r="K26" s="137"/>
      <c r="L26" s="134"/>
      <c r="M26" s="113"/>
      <c r="N26" s="113"/>
      <c r="O26" s="114"/>
      <c r="P26" s="114"/>
      <c r="AA26" s="54"/>
      <c r="AB26" s="54"/>
      <c r="AC26" s="54"/>
    </row>
    <row r="27" spans="1:38" ht="14.5">
      <c r="A27" s="266">
        <f>Masses!C30</f>
        <v>11.5</v>
      </c>
      <c r="B27" s="266" t="str">
        <f>Masses!A30</f>
        <v xml:space="preserve"> 11-12</v>
      </c>
      <c r="C27" s="296">
        <v>5.2101701967363603</v>
      </c>
      <c r="D27" s="296">
        <v>7.2182183653645496E-2</v>
      </c>
      <c r="E27" s="297">
        <v>0.7</v>
      </c>
      <c r="F27" s="297">
        <v>7.2470619323016267E-2</v>
      </c>
      <c r="G27" s="113">
        <f>C27-E27</f>
        <v>4.5101701967363601</v>
      </c>
      <c r="H27" s="113">
        <f>SQRT(SUMSQ(D27,F27))</f>
        <v>0.10228518124376641</v>
      </c>
      <c r="I27" s="64"/>
      <c r="J27" s="64"/>
      <c r="K27" s="134">
        <f>(G27*Masses!G30)</f>
        <v>1.1418081530209334</v>
      </c>
      <c r="L27" s="134">
        <f>K27*SQRT(SUMSQ(H27/G27,Masses!H30/Masses!G30))</f>
        <v>3.4211526948005139E-2</v>
      </c>
      <c r="M27" s="113">
        <v>11.5</v>
      </c>
      <c r="N27" s="113">
        <f>Masses!K30</f>
        <v>3.1830338817500001</v>
      </c>
      <c r="O27" s="113">
        <f>LN(G27)</f>
        <v>1.5063348904380969</v>
      </c>
      <c r="P27" s="113">
        <f t="shared" ref="P27" si="11">(H27/G27)</f>
        <v>2.267878523027397E-2</v>
      </c>
      <c r="R27" s="42"/>
      <c r="S27" s="42"/>
      <c r="T27" s="42"/>
      <c r="AA27" s="54"/>
      <c r="AB27" s="54"/>
      <c r="AC27" s="54"/>
    </row>
    <row r="28" spans="1:38" ht="14.5">
      <c r="A28" s="266"/>
      <c r="B28" s="266"/>
      <c r="C28" s="296"/>
      <c r="D28" s="296"/>
      <c r="E28" s="297"/>
      <c r="F28" s="297"/>
      <c r="G28" s="113"/>
      <c r="H28" s="113"/>
      <c r="I28" s="64">
        <f>(G27+G29)/2</f>
        <v>4.4866317511334302</v>
      </c>
      <c r="J28" s="64">
        <f>SQRT(SUMSQ(H27,H29))/2</f>
        <v>7.2326553473054042E-2</v>
      </c>
      <c r="K28" s="137"/>
      <c r="L28" s="134"/>
      <c r="M28" s="113"/>
      <c r="N28" s="113"/>
      <c r="O28" s="114"/>
      <c r="P28" s="114"/>
      <c r="AK28" s="39"/>
      <c r="AL28" s="39"/>
    </row>
    <row r="29" spans="1:38" ht="14.5">
      <c r="A29" s="266">
        <f>Masses!C32</f>
        <v>12.5</v>
      </c>
      <c r="B29" s="266" t="str">
        <f>Masses!A32</f>
        <v xml:space="preserve"> 12-13</v>
      </c>
      <c r="C29" s="296">
        <v>5.1630933055305004</v>
      </c>
      <c r="D29" s="296">
        <v>7.2182216522011206E-2</v>
      </c>
      <c r="E29" s="297">
        <v>0.7</v>
      </c>
      <c r="F29" s="297">
        <v>7.2470619323016267E-2</v>
      </c>
      <c r="G29" s="113">
        <f>C29-E29</f>
        <v>4.4630933055305002</v>
      </c>
      <c r="H29" s="113">
        <f>SQRT(SUMSQ(D29,F29))</f>
        <v>0.10228520443882412</v>
      </c>
      <c r="I29" s="64"/>
      <c r="J29" s="64"/>
      <c r="K29" s="134">
        <f>(G29*Masses!G32)</f>
        <v>1.201952780756165</v>
      </c>
      <c r="L29" s="134">
        <f>K29*SQRT(SUMSQ(H29/G29,Masses!H32/Masses!G32))</f>
        <v>3.5492974281175198E-2</v>
      </c>
      <c r="M29" s="113">
        <v>12.5</v>
      </c>
      <c r="N29" s="113">
        <f>Masses!K32</f>
        <v>3.4442700522499998</v>
      </c>
      <c r="O29" s="113">
        <f>LN(G29)</f>
        <v>1.4958420918884883</v>
      </c>
      <c r="P29" s="113">
        <f t="shared" ref="P29" si="12">(H29/G29)</f>
        <v>2.2918007183958283E-2</v>
      </c>
      <c r="R29" s="42"/>
      <c r="S29" s="42"/>
      <c r="T29" s="42"/>
    </row>
    <row r="30" spans="1:38" ht="14.5">
      <c r="A30" s="266"/>
      <c r="B30" s="266"/>
      <c r="C30" s="296"/>
      <c r="D30" s="296"/>
      <c r="E30" s="297"/>
      <c r="F30" s="297"/>
      <c r="G30" s="113"/>
      <c r="H30" s="113"/>
      <c r="I30" s="64">
        <f>(G29+G31)/2</f>
        <v>4.8135705924670003</v>
      </c>
      <c r="J30" s="64">
        <f>SQRT(SUMSQ(H29,H31))/2</f>
        <v>7.2326554365493331E-2</v>
      </c>
      <c r="K30" s="137"/>
      <c r="L30" s="134"/>
      <c r="M30" s="113"/>
      <c r="N30" s="113"/>
      <c r="O30" s="114"/>
      <c r="P30" s="114"/>
    </row>
    <row r="31" spans="1:38" ht="14.5">
      <c r="A31" s="266">
        <f>Masses!C34</f>
        <v>13.5</v>
      </c>
      <c r="B31" s="266" t="str">
        <f>Masses!A34</f>
        <v xml:space="preserve"> 13-14</v>
      </c>
      <c r="C31" s="296">
        <v>5.8640478794034996</v>
      </c>
      <c r="D31" s="296">
        <v>7.2182187230542302E-2</v>
      </c>
      <c r="E31" s="297">
        <v>0.7</v>
      </c>
      <c r="F31" s="297">
        <v>7.2470619323016267E-2</v>
      </c>
      <c r="G31" s="113">
        <f>C31-E31</f>
        <v>5.1640478794034994</v>
      </c>
      <c r="H31" s="113">
        <f>SQRT(SUMSQ(D31,F31))</f>
        <v>0.10228518376796614</v>
      </c>
      <c r="I31" s="64"/>
      <c r="J31" s="64"/>
      <c r="K31" s="134">
        <f>(G31*Masses!G34)</f>
        <v>1.3924697670483837</v>
      </c>
      <c r="L31" s="134">
        <f>K31*SQRT(SUMSQ(H31/G31,Masses!H34/Masses!G34))</f>
        <v>3.638188759039096E-2</v>
      </c>
      <c r="M31" s="113">
        <v>13.5</v>
      </c>
      <c r="N31" s="113">
        <f>Masses!K34</f>
        <v>3.71374820555</v>
      </c>
      <c r="O31" s="113">
        <f>LN(G31)</f>
        <v>1.6417207447081639</v>
      </c>
      <c r="P31" s="113">
        <f t="shared" ref="P31" si="13">(H31/G31)</f>
        <v>1.9807171845932059E-2</v>
      </c>
      <c r="R31" s="42"/>
      <c r="S31" s="42"/>
      <c r="T31" s="42"/>
      <c r="U31" s="52"/>
      <c r="V31" s="52"/>
    </row>
    <row r="32" spans="1:38" ht="14.5">
      <c r="A32" s="266"/>
      <c r="B32" s="266"/>
      <c r="C32" s="296"/>
      <c r="D32" s="296"/>
      <c r="E32" s="297"/>
      <c r="F32" s="297"/>
      <c r="G32" s="113"/>
      <c r="H32" s="113"/>
      <c r="I32" s="64">
        <f>(G31+G33)/2</f>
        <v>5.2754335173499198</v>
      </c>
      <c r="J32" s="64">
        <f>SQRT(SUMSQ(H31,H33))/2</f>
        <v>7.2326550879203449E-2</v>
      </c>
      <c r="K32" s="137"/>
      <c r="L32" s="134"/>
      <c r="M32" s="113"/>
      <c r="N32" s="113"/>
      <c r="O32" s="114"/>
      <c r="P32" s="114"/>
      <c r="U32" s="52"/>
      <c r="V32" s="52"/>
      <c r="AK32" s="39"/>
      <c r="AL32" s="39"/>
    </row>
    <row r="33" spans="1:46" ht="14.5">
      <c r="A33" s="266">
        <f>Masses!C36</f>
        <v>14.5</v>
      </c>
      <c r="B33" s="266" t="str">
        <f>Masses!A36</f>
        <v xml:space="preserve"> 14-15</v>
      </c>
      <c r="C33" s="296">
        <v>6.0868191552963404</v>
      </c>
      <c r="D33" s="296">
        <v>7.2182202548965499E-2</v>
      </c>
      <c r="E33" s="297">
        <v>0.7</v>
      </c>
      <c r="F33" s="297">
        <v>7.2470619323016267E-2</v>
      </c>
      <c r="G33" s="113">
        <f>C33-E33</f>
        <v>5.3868191552963403</v>
      </c>
      <c r="H33" s="113">
        <f>SQRT(SUMSQ(D33,F33))</f>
        <v>0.10228519457810803</v>
      </c>
      <c r="I33" s="64"/>
      <c r="J33" s="64"/>
      <c r="K33" s="134">
        <f>(G33*Masses!G36)</f>
        <v>1.47901562328898</v>
      </c>
      <c r="L33" s="134">
        <f>K33*SQRT(SUMSQ(H33/G33,Masses!H36/Masses!G36))</f>
        <v>3.6237778909435608E-2</v>
      </c>
      <c r="M33" s="113">
        <v>14.5</v>
      </c>
      <c r="N33" s="113">
        <f>Masses!K36</f>
        <v>3.985852661</v>
      </c>
      <c r="O33" s="113">
        <f>LN(G33)</f>
        <v>1.683955072556897</v>
      </c>
      <c r="P33" s="113">
        <f t="shared" ref="P33" si="14">(H33/G33)</f>
        <v>1.8988050578520137E-2</v>
      </c>
      <c r="R33" s="42"/>
      <c r="S33" s="42"/>
      <c r="T33" s="42"/>
      <c r="U33" s="52"/>
      <c r="V33" s="52"/>
    </row>
    <row r="34" spans="1:46" ht="14.5">
      <c r="A34" s="266"/>
      <c r="B34" s="266"/>
      <c r="C34" s="296"/>
      <c r="D34" s="296"/>
      <c r="E34" s="297"/>
      <c r="F34" s="297"/>
      <c r="G34" s="113"/>
      <c r="H34" s="113"/>
      <c r="I34" s="64">
        <f t="shared" ref="I34" si="15">(G33+G35)/2</f>
        <v>5.1968817479059055</v>
      </c>
      <c r="J34" s="64">
        <f t="shared" ref="J34" si="16">SQRT(SUMSQ(H33,H35))/2</f>
        <v>7.2326557301338038E-2</v>
      </c>
      <c r="K34" s="137"/>
      <c r="L34" s="137"/>
      <c r="M34" s="113"/>
      <c r="N34" s="113"/>
      <c r="O34" s="113"/>
      <c r="P34" s="114"/>
      <c r="U34" s="52"/>
      <c r="V34" s="52"/>
      <c r="AA34" s="39"/>
      <c r="AB34" s="39"/>
      <c r="AC34" s="39"/>
      <c r="AQ34" s="39"/>
      <c r="AR34" s="39"/>
      <c r="AT34" s="39"/>
    </row>
    <row r="35" spans="1:46" ht="14.5">
      <c r="A35" s="266">
        <f>Masses!C38</f>
        <v>15.5</v>
      </c>
      <c r="B35" s="266" t="str">
        <f>Masses!A38</f>
        <v xml:space="preserve"> 15-16</v>
      </c>
      <c r="C35" s="296">
        <v>5.7069443405154701</v>
      </c>
      <c r="D35" s="296">
        <v>7.2182212970454004E-2</v>
      </c>
      <c r="E35" s="297">
        <v>0.7</v>
      </c>
      <c r="F35" s="297">
        <v>7.2470619323016267E-2</v>
      </c>
      <c r="G35" s="113">
        <f t="shared" ref="G35" si="17">C35-E35</f>
        <v>5.0069443405154699</v>
      </c>
      <c r="H35" s="113">
        <f t="shared" ref="H35" si="18">SQRT(SUMSQ(D35,F35))</f>
        <v>0.10228520193250594</v>
      </c>
      <c r="I35" s="64"/>
      <c r="J35" s="64"/>
      <c r="K35" s="134">
        <f>(G35*Masses!G38)</f>
        <v>1.3389239406121676</v>
      </c>
      <c r="L35" s="134">
        <f>K35*SQRT(SUMSQ(H35/G35,Masses!H38/Masses!G38))</f>
        <v>3.6282236357869188E-2</v>
      </c>
      <c r="M35" s="113">
        <v>15.5</v>
      </c>
      <c r="N35" s="113">
        <f>Masses!K38</f>
        <v>4.2568403338999996</v>
      </c>
      <c r="O35" s="113">
        <f t="shared" ref="O35" si="19">LN(G35)</f>
        <v>1.6108258169519825</v>
      </c>
      <c r="P35" s="113">
        <f t="shared" ref="P35" si="20">(H35/G35)</f>
        <v>2.0428667661597288E-2</v>
      </c>
      <c r="R35" s="42"/>
      <c r="S35" s="42"/>
      <c r="T35" s="42"/>
      <c r="U35" s="52"/>
      <c r="V35" s="52"/>
      <c r="AQ35" s="39"/>
      <c r="AR35" s="39"/>
      <c r="AT35" s="39"/>
    </row>
    <row r="36" spans="1:46" ht="14.5">
      <c r="A36" s="266"/>
      <c r="B36" s="266"/>
      <c r="C36" s="296"/>
      <c r="D36" s="296"/>
      <c r="E36" s="297"/>
      <c r="F36" s="297"/>
      <c r="G36" s="113"/>
      <c r="H36" s="113"/>
      <c r="I36" s="64">
        <f t="shared" ref="I36" si="21">(G35+G37)/2</f>
        <v>4.6544229397961647</v>
      </c>
      <c r="J36" s="64">
        <f t="shared" ref="J36" si="22">SQRT(SUMSQ(H35,H37))/2</f>
        <v>7.2326559750269914E-2</v>
      </c>
      <c r="K36" s="137"/>
      <c r="L36" s="137"/>
      <c r="M36" s="113"/>
      <c r="N36" s="113"/>
      <c r="O36" s="113"/>
      <c r="P36" s="114"/>
      <c r="U36" s="52"/>
      <c r="V36" s="52"/>
      <c r="AK36" s="39"/>
      <c r="AL36" s="39"/>
      <c r="AQ36" s="39"/>
      <c r="AR36" s="39"/>
      <c r="AT36" s="39"/>
    </row>
    <row r="37" spans="1:46" ht="14.5">
      <c r="A37" s="266">
        <f>Masses!C40</f>
        <v>16.5</v>
      </c>
      <c r="B37" s="266" t="str">
        <f>Masses!A40</f>
        <v xml:space="preserve"> 16-17</v>
      </c>
      <c r="C37" s="296">
        <v>5.0019015390768597</v>
      </c>
      <c r="D37" s="296">
        <v>7.2182212364282697E-2</v>
      </c>
      <c r="E37" s="297">
        <v>0.7</v>
      </c>
      <c r="F37" s="297">
        <v>7.2470619323016267E-2</v>
      </c>
      <c r="G37" s="113">
        <f t="shared" ref="G37" si="23">C37-E37</f>
        <v>4.3019015390768596</v>
      </c>
      <c r="H37" s="113">
        <f t="shared" ref="H37" si="24">SQRT(SUMSQ(D37,F37))</f>
        <v>0.10228520150473354</v>
      </c>
      <c r="I37" s="64"/>
      <c r="J37" s="64"/>
      <c r="K37" s="134">
        <f>(G37*Masses!G40)</f>
        <v>1.1622849577200742</v>
      </c>
      <c r="L37" s="134">
        <f>K37*SQRT(SUMSQ(H37/G37,Masses!H40/Masses!G40))</f>
        <v>3.5194273141663693E-2</v>
      </c>
      <c r="M37" s="113">
        <v>16.5</v>
      </c>
      <c r="N37" s="113">
        <f>Masses!K40</f>
        <v>4.5256367015500008</v>
      </c>
      <c r="O37" s="113">
        <f t="shared" ref="O37" si="25">LN(G37)</f>
        <v>1.4590571433397486</v>
      </c>
      <c r="P37" s="113">
        <f t="shared" ref="P37" si="26">(H37/G37)</f>
        <v>2.3776741651479735E-2</v>
      </c>
      <c r="Q37" s="39"/>
      <c r="R37" s="42"/>
      <c r="S37" s="42"/>
      <c r="T37" s="42"/>
      <c r="U37" s="52"/>
      <c r="V37" s="52"/>
      <c r="AQ37" s="39"/>
      <c r="AR37" s="39"/>
      <c r="AT37" s="39"/>
    </row>
    <row r="38" spans="1:46" ht="14.5">
      <c r="A38" s="266"/>
      <c r="B38" s="266"/>
      <c r="C38" s="296"/>
      <c r="D38" s="296"/>
      <c r="E38" s="297"/>
      <c r="F38" s="297"/>
      <c r="G38" s="113"/>
      <c r="H38" s="113"/>
      <c r="I38" s="64">
        <f t="shared" ref="I38" si="27">(G37+G39)/2</f>
        <v>3.8710458570733799</v>
      </c>
      <c r="J38" s="64">
        <f t="shared" ref="J38" si="28">SQRT(SUMSQ(H37,H39))/2</f>
        <v>7.2326585871381716E-2</v>
      </c>
      <c r="K38" s="137"/>
      <c r="L38" s="137"/>
      <c r="M38" s="113"/>
      <c r="N38" s="113"/>
      <c r="O38" s="113"/>
      <c r="P38" s="114"/>
      <c r="Q38" s="39"/>
      <c r="AK38" s="39"/>
      <c r="AL38" s="39"/>
    </row>
    <row r="39" spans="1:46" s="39" customFormat="1" ht="18" customHeight="1">
      <c r="A39" s="266">
        <f>Masses!C42</f>
        <v>17.5</v>
      </c>
      <c r="B39" s="266" t="str">
        <f>Masses!A42</f>
        <v xml:space="preserve"> 17-18</v>
      </c>
      <c r="C39" s="296">
        <v>4.1401901750699004</v>
      </c>
      <c r="D39" s="296">
        <v>7.2182317663787507E-2</v>
      </c>
      <c r="E39" s="297">
        <v>0.7</v>
      </c>
      <c r="F39" s="297">
        <v>7.2470619323016267E-2</v>
      </c>
      <c r="G39" s="113">
        <f t="shared" ref="G39" si="29">C39-E39</f>
        <v>3.4401901750699002</v>
      </c>
      <c r="H39" s="113">
        <f t="shared" ref="H39" si="30">SQRT(SUMSQ(D39,F39))</f>
        <v>0.10228527581415357</v>
      </c>
      <c r="I39" s="64"/>
      <c r="J39" s="64"/>
      <c r="K39" s="134">
        <f>(G39*Masses!G42)</f>
        <v>0.93382548796933318</v>
      </c>
      <c r="L39" s="134">
        <f>K39*SQRT(SUMSQ(H39/G39,Masses!H42/Masses!G42))</f>
        <v>3.2795482433046551E-2</v>
      </c>
      <c r="M39" s="113">
        <v>17.5</v>
      </c>
      <c r="N39" s="113">
        <f>Masses!K42</f>
        <v>4.7964493217000008</v>
      </c>
      <c r="O39" s="113">
        <f t="shared" ref="O39" si="31">LN(G39)</f>
        <v>1.2355267533077858</v>
      </c>
      <c r="P39" s="113">
        <f t="shared" ref="P39" si="32">(H39/G39)</f>
        <v>2.973244809411598E-2</v>
      </c>
      <c r="R39" s="42"/>
      <c r="S39" s="42"/>
      <c r="T39" s="42"/>
      <c r="X39" s="11"/>
      <c r="Y39" s="11"/>
      <c r="AA39" s="11"/>
      <c r="AB39" s="11"/>
      <c r="AC39" s="11"/>
      <c r="AJ39" s="11"/>
      <c r="AK39" s="11"/>
      <c r="AL39" s="11"/>
      <c r="AQ39" s="11"/>
      <c r="AR39" s="11"/>
      <c r="AS39" s="11"/>
      <c r="AT39" s="11"/>
    </row>
    <row r="40" spans="1:46" s="39" customFormat="1" ht="14" customHeight="1">
      <c r="A40" s="266"/>
      <c r="B40" s="266"/>
      <c r="C40" s="296"/>
      <c r="D40" s="296"/>
      <c r="E40" s="297"/>
      <c r="F40" s="297"/>
      <c r="G40" s="113"/>
      <c r="H40" s="113"/>
      <c r="I40" s="64">
        <f t="shared" ref="I40" si="33">(G39+G41)/2</f>
        <v>3.3769452410351248</v>
      </c>
      <c r="J40" s="64">
        <f t="shared" ref="J40" si="34">SQRT(SUMSQ(H39,H41))/2</f>
        <v>7.2326619610962678E-2</v>
      </c>
      <c r="K40" s="137"/>
      <c r="L40" s="137"/>
      <c r="M40" s="113"/>
      <c r="N40" s="113"/>
      <c r="O40" s="113"/>
      <c r="P40" s="114"/>
      <c r="X40" s="11"/>
      <c r="Y40" s="11"/>
      <c r="AA40" s="11"/>
      <c r="AB40" s="11"/>
      <c r="AC40" s="92"/>
      <c r="AJ40" s="11"/>
      <c r="AL40" s="61"/>
      <c r="AQ40" s="11"/>
      <c r="AR40" s="11"/>
      <c r="AS40" s="11"/>
      <c r="AT40" s="11"/>
    </row>
    <row r="41" spans="1:46" s="39" customFormat="1" ht="18" customHeight="1">
      <c r="A41" s="266">
        <f>Masses!C44</f>
        <v>18.5</v>
      </c>
      <c r="B41" s="266" t="str">
        <f>Masses!A44</f>
        <v xml:space="preserve"> 18-19</v>
      </c>
      <c r="C41" s="296">
        <v>4.0137003070003496</v>
      </c>
      <c r="D41" s="296">
        <v>7.2182347592445004E-2</v>
      </c>
      <c r="E41" s="297">
        <v>0.7</v>
      </c>
      <c r="F41" s="297">
        <v>7.2470619323016267E-2</v>
      </c>
      <c r="G41" s="113">
        <f t="shared" ref="G41" si="35">C41-E41</f>
        <v>3.3137003070003495</v>
      </c>
      <c r="H41" s="113">
        <f t="shared" ref="H41" si="36">SQRT(SUMSQ(D41,F41))</f>
        <v>0.10228529693469188</v>
      </c>
      <c r="I41" s="64"/>
      <c r="J41" s="64"/>
      <c r="K41" s="134">
        <f>(G41*Masses!G44)</f>
        <v>0.9010610932229477</v>
      </c>
      <c r="L41" s="134">
        <f>K41*SQRT(SUMSQ(H41/G41,Masses!H44/Masses!G44))</f>
        <v>3.2173109191371625E-2</v>
      </c>
      <c r="M41" s="113">
        <v>18.5</v>
      </c>
      <c r="N41" s="113">
        <f>Masses!K44</f>
        <v>5.068132222900001</v>
      </c>
      <c r="O41" s="113">
        <f t="shared" ref="O41" si="37">LN(G41)</f>
        <v>1.1980654825072536</v>
      </c>
      <c r="P41" s="113">
        <f t="shared" ref="P41" si="38">(H41/G41)</f>
        <v>3.0867395195217057E-2</v>
      </c>
      <c r="R41" s="42"/>
      <c r="S41" s="42"/>
      <c r="T41" s="42"/>
      <c r="X41" s="11"/>
      <c r="Y41" s="11"/>
      <c r="AA41" s="11"/>
      <c r="AB41" s="11"/>
      <c r="AC41" s="93"/>
      <c r="AJ41" s="11"/>
      <c r="AK41" s="11"/>
      <c r="AL41" s="11"/>
      <c r="AQ41" s="11"/>
      <c r="AR41" s="11"/>
      <c r="AS41" s="11"/>
      <c r="AT41" s="11"/>
    </row>
    <row r="42" spans="1:46" s="39" customFormat="1" ht="18" customHeight="1">
      <c r="A42" s="266"/>
      <c r="B42" s="266"/>
      <c r="C42" s="296"/>
      <c r="D42" s="296"/>
      <c r="E42" s="297"/>
      <c r="F42" s="297"/>
      <c r="G42" s="113"/>
      <c r="H42" s="113"/>
      <c r="I42" s="64">
        <f t="shared" ref="I42" si="39">(G41+G43)/2</f>
        <v>3.2925265925140699</v>
      </c>
      <c r="J42" s="64">
        <f t="shared" ref="J42" si="40">SQRT(SUMSQ(H41,H43))/2</f>
        <v>7.2326629477342877E-2</v>
      </c>
      <c r="K42" s="137"/>
      <c r="L42" s="137"/>
      <c r="M42" s="113"/>
      <c r="N42" s="113"/>
      <c r="O42" s="113"/>
      <c r="P42" s="114"/>
      <c r="X42" s="11"/>
      <c r="Y42" s="11"/>
      <c r="AA42" s="11"/>
      <c r="AB42" s="11"/>
      <c r="AC42" s="11"/>
      <c r="AJ42" s="11"/>
      <c r="AK42" s="11"/>
      <c r="AL42" s="111"/>
      <c r="AQ42" s="11"/>
      <c r="AR42" s="11"/>
      <c r="AS42" s="11"/>
      <c r="AT42" s="11"/>
    </row>
    <row r="43" spans="1:46" s="39" customFormat="1" ht="18" customHeight="1">
      <c r="A43" s="266">
        <f>Masses!C46</f>
        <v>19.5</v>
      </c>
      <c r="B43" s="266" t="str">
        <f>Masses!A46</f>
        <v xml:space="preserve"> 19-20</v>
      </c>
      <c r="C43" s="296">
        <v>3.97135287802779</v>
      </c>
      <c r="D43" s="296">
        <v>7.2182357208197004E-2</v>
      </c>
      <c r="E43" s="297">
        <v>0.7</v>
      </c>
      <c r="F43" s="297">
        <v>7.2470619323016267E-2</v>
      </c>
      <c r="G43" s="113">
        <f t="shared" ref="G43" si="41">C43-E43</f>
        <v>3.2713528780277903</v>
      </c>
      <c r="H43" s="113">
        <f t="shared" ref="H43" si="42">SQRT(SUMSQ(D43,F43))</f>
        <v>0.10228530372049197</v>
      </c>
      <c r="I43" s="64"/>
      <c r="J43" s="64"/>
      <c r="K43" s="134">
        <f>(G43*Masses!G46)</f>
        <v>0.87658462555755778</v>
      </c>
      <c r="L43" s="134">
        <f>K43*SQRT(SUMSQ(H43/G43,Masses!H46/Masses!G46))</f>
        <v>3.1546748826676047E-2</v>
      </c>
      <c r="M43" s="113">
        <v>19.5</v>
      </c>
      <c r="N43" s="113">
        <f>Masses!K46</f>
        <v>5.3380710946000001</v>
      </c>
      <c r="O43" s="113">
        <f t="shared" ref="O43" si="43">LN(G43)</f>
        <v>1.1852036235164367</v>
      </c>
      <c r="P43" s="113">
        <f t="shared" ref="P43" si="44">(H43/G43)</f>
        <v>3.1266973492066988E-2</v>
      </c>
      <c r="R43" s="124"/>
      <c r="S43" s="124"/>
      <c r="T43" s="124"/>
      <c r="X43" s="11"/>
      <c r="Y43" s="11"/>
      <c r="AA43" s="11"/>
      <c r="AB43" s="11"/>
      <c r="AC43" s="11"/>
      <c r="AI43" s="42"/>
      <c r="AJ43" s="11"/>
      <c r="AK43" s="11"/>
      <c r="AL43" s="11"/>
      <c r="AQ43" s="11"/>
      <c r="AR43" s="11"/>
      <c r="AS43" s="11"/>
      <c r="AT43" s="11"/>
    </row>
    <row r="44" spans="1:46" s="39" customFormat="1" ht="18" customHeight="1">
      <c r="A44" s="266"/>
      <c r="B44" s="266"/>
      <c r="C44" s="296"/>
      <c r="D44" s="296"/>
      <c r="E44" s="297"/>
      <c r="F44" s="297"/>
      <c r="G44" s="113"/>
      <c r="H44" s="113"/>
      <c r="I44" s="64">
        <f t="shared" ref="I44" si="45">(G43+G45)/2</f>
        <v>2.8201318366095101</v>
      </c>
      <c r="J44" s="64">
        <f t="shared" ref="J44" si="46">SQRT(SUMSQ(H43,H45))/2</f>
        <v>7.2326736182170309E-2</v>
      </c>
      <c r="K44" s="137"/>
      <c r="L44" s="137"/>
      <c r="M44" s="113"/>
      <c r="N44" s="113"/>
      <c r="O44" s="113"/>
      <c r="P44" s="114"/>
      <c r="S44" s="225"/>
      <c r="T44" s="225"/>
      <c r="U44" s="225"/>
      <c r="V44" s="225"/>
      <c r="W44" s="225"/>
      <c r="X44" s="226"/>
      <c r="Y44" s="11"/>
      <c r="AA44" s="11"/>
      <c r="AB44" s="11"/>
      <c r="AC44" s="11"/>
      <c r="AJ44" s="11"/>
      <c r="AK44" s="11"/>
      <c r="AL44" s="111"/>
      <c r="AQ44" s="11"/>
      <c r="AR44" s="11"/>
      <c r="AS44" s="11"/>
      <c r="AT44" s="11"/>
    </row>
    <row r="45" spans="1:46" s="39" customFormat="1" ht="20" customHeight="1">
      <c r="A45" s="266">
        <f>Masses!C48</f>
        <v>20.5</v>
      </c>
      <c r="B45" s="266" t="str">
        <f>Masses!A48</f>
        <v xml:space="preserve"> 20-21</v>
      </c>
      <c r="C45" s="296">
        <v>3.06891079519123</v>
      </c>
      <c r="D45" s="296">
        <v>7.2182775263952198E-2</v>
      </c>
      <c r="E45" s="297">
        <v>0.7</v>
      </c>
      <c r="F45" s="297">
        <v>7.2470619323016267E-2</v>
      </c>
      <c r="G45" s="113">
        <f t="shared" ref="G45" si="47">C45-E45</f>
        <v>2.3689107951912298</v>
      </c>
      <c r="H45" s="113">
        <f t="shared" ref="H45" si="48">SQRT(SUMSQ(D45,F45))</f>
        <v>0.10228559874130751</v>
      </c>
      <c r="I45" s="64"/>
      <c r="J45" s="64"/>
      <c r="K45" s="134">
        <f>(G45*Masses!G48)</f>
        <v>0.77117598281893784</v>
      </c>
      <c r="L45" s="134">
        <f>K45*SQRT(SUMSQ(H45/G45,Masses!H48/Masses!G48))</f>
        <v>3.5187527396611934E-2</v>
      </c>
      <c r="M45" s="113">
        <v>20.5</v>
      </c>
      <c r="N45" s="113">
        <f>Masses!K48</f>
        <v>5.6348201716500004</v>
      </c>
      <c r="O45" s="113">
        <f t="shared" ref="O45" si="49">LN(G45)</f>
        <v>0.86243026941965473</v>
      </c>
      <c r="P45" s="113">
        <f t="shared" ref="P45" si="50">(H45/G45)</f>
        <v>4.3178324379686286E-2</v>
      </c>
      <c r="R45" s="53"/>
      <c r="T45" s="225"/>
      <c r="U45" s="225"/>
      <c r="V45" s="225"/>
      <c r="W45" s="225"/>
      <c r="X45" s="226"/>
      <c r="Y45" s="11"/>
      <c r="AA45" s="11"/>
      <c r="AB45" s="11"/>
      <c r="AC45" s="11"/>
      <c r="AH45" s="11"/>
      <c r="AI45" s="42"/>
      <c r="AJ45" s="11"/>
      <c r="AK45" s="11"/>
      <c r="AL45" s="11"/>
      <c r="AQ45" s="11"/>
      <c r="AR45" s="11"/>
      <c r="AS45" s="11"/>
      <c r="AT45" s="11"/>
    </row>
    <row r="46" spans="1:46" s="39" customFormat="1" ht="18" customHeight="1">
      <c r="A46" s="266"/>
      <c r="B46" s="266"/>
      <c r="C46" s="296"/>
      <c r="D46" s="296"/>
      <c r="E46" s="297"/>
      <c r="F46" s="297"/>
      <c r="G46" s="113"/>
      <c r="H46" s="113"/>
      <c r="I46" s="64">
        <f t="shared" ref="I46" si="51">(G45+G47)/2</f>
        <v>2.3247049627736351</v>
      </c>
      <c r="J46" s="64">
        <f t="shared" ref="J46" si="52">SQRT(SUMSQ(H45,H47))/2</f>
        <v>7.2326858748510206E-2</v>
      </c>
      <c r="K46" s="137"/>
      <c r="L46" s="137"/>
      <c r="M46" s="113"/>
      <c r="N46" s="113"/>
      <c r="O46" s="113"/>
      <c r="P46" s="114"/>
      <c r="R46" s="53"/>
      <c r="S46" s="53"/>
      <c r="T46" s="61"/>
      <c r="U46" s="61"/>
      <c r="V46" s="61"/>
      <c r="W46" s="61"/>
      <c r="X46" s="111"/>
      <c r="Y46" s="111"/>
      <c r="Z46" s="61"/>
      <c r="AA46" s="11"/>
      <c r="AB46" s="11"/>
      <c r="AC46" s="11"/>
      <c r="AH46" s="11"/>
      <c r="AJ46" s="11"/>
      <c r="AK46" s="11"/>
      <c r="AL46" s="111"/>
      <c r="AM46" s="61"/>
      <c r="AQ46" s="11"/>
      <c r="AR46" s="11"/>
      <c r="AS46" s="11"/>
      <c r="AT46" s="11"/>
    </row>
    <row r="47" spans="1:46" ht="25">
      <c r="A47" s="266">
        <f>Masses!C50</f>
        <v>21.5</v>
      </c>
      <c r="B47" s="266" t="str">
        <f>Masses!A50</f>
        <v xml:space="preserve"> 21-22</v>
      </c>
      <c r="C47" s="296">
        <v>2.9804991303560402</v>
      </c>
      <c r="D47" s="296">
        <v>7.2182848452928799E-2</v>
      </c>
      <c r="E47" s="297">
        <v>0.7</v>
      </c>
      <c r="F47" s="297">
        <v>7.2470619323016267E-2</v>
      </c>
      <c r="G47" s="113">
        <f t="shared" ref="G47" si="53">C47-E47</f>
        <v>2.2804991303560405</v>
      </c>
      <c r="H47" s="113">
        <f t="shared" ref="H47" si="54">SQRT(SUMSQ(D47,F47))</f>
        <v>0.10228565039065854</v>
      </c>
      <c r="I47" s="64"/>
      <c r="J47" s="64"/>
      <c r="K47" s="134">
        <f>(G47*Masses!G50)</f>
        <v>0.74439631268062545</v>
      </c>
      <c r="L47" s="134">
        <f>K47*SQRT(SUMSQ(H47/G47,Masses!H50/Masses!G50))</f>
        <v>3.5085090844235001E-2</v>
      </c>
      <c r="M47" s="113">
        <v>21.5</v>
      </c>
      <c r="N47" s="113">
        <f>Masses!K50</f>
        <v>5.9607994087999998</v>
      </c>
      <c r="O47" s="113">
        <f t="shared" ref="O47" si="55">LN(G47)</f>
        <v>0.82439433583038313</v>
      </c>
      <c r="P47" s="113">
        <f t="shared" ref="P47" si="56">(H47/G47)</f>
        <v>4.4852308439463993E-2</v>
      </c>
      <c r="R47" s="53"/>
      <c r="S47" s="226" t="s">
        <v>81</v>
      </c>
      <c r="T47" s="61"/>
      <c r="U47" s="61"/>
      <c r="V47" s="61"/>
      <c r="W47" s="61"/>
      <c r="X47" s="111"/>
      <c r="Y47" s="111"/>
      <c r="Z47" s="61"/>
      <c r="AM47" s="111"/>
    </row>
    <row r="48" spans="1:46" ht="14.5">
      <c r="A48" s="266"/>
      <c r="B48" s="266"/>
      <c r="C48" s="296"/>
      <c r="D48" s="296"/>
      <c r="E48" s="297"/>
      <c r="F48" s="297"/>
      <c r="G48" s="113"/>
      <c r="H48" s="113"/>
      <c r="I48" s="64">
        <f t="shared" ref="I48" si="57">(G47+G49)/2</f>
        <v>2.3957349691211354</v>
      </c>
      <c r="J48" s="64">
        <f t="shared" ref="J48" si="58">SQRT(SUMSQ(H47,H49))/2</f>
        <v>7.2326837634510185E-2</v>
      </c>
      <c r="K48" s="137"/>
      <c r="L48" s="137"/>
      <c r="M48" s="113"/>
      <c r="N48" s="113"/>
      <c r="O48" s="113"/>
      <c r="P48" s="114"/>
      <c r="R48" s="53"/>
      <c r="S48" s="53"/>
      <c r="T48" s="61"/>
      <c r="U48" s="61"/>
      <c r="V48" s="61"/>
      <c r="W48" s="61"/>
      <c r="X48" s="111"/>
      <c r="Y48" s="111"/>
      <c r="Z48" s="61"/>
      <c r="AL48" s="111"/>
      <c r="AM48" s="111"/>
    </row>
    <row r="49" spans="1:39" ht="14.5">
      <c r="A49" s="266">
        <f>Masses!C52</f>
        <v>22.5</v>
      </c>
      <c r="B49" s="266" t="str">
        <f>Masses!A52</f>
        <v xml:space="preserve"> 22-23</v>
      </c>
      <c r="C49" s="296">
        <v>3.21097080788623</v>
      </c>
      <c r="D49" s="296">
        <v>7.21826906393329E-2</v>
      </c>
      <c r="E49" s="297">
        <v>0.7</v>
      </c>
      <c r="F49" s="297">
        <v>7.2470619323016267E-2</v>
      </c>
      <c r="G49" s="113">
        <f t="shared" ref="G49" si="59">C49-E49</f>
        <v>2.5109708078862303</v>
      </c>
      <c r="H49" s="113">
        <f t="shared" ref="H49" si="60">SQRT(SUMSQ(D49,F49))</f>
        <v>0.10228553902187335</v>
      </c>
      <c r="I49" s="64"/>
      <c r="J49" s="64"/>
      <c r="K49" s="134">
        <f>(G49*Masses!G52)</f>
        <v>0.83586876820568845</v>
      </c>
      <c r="L49" s="134">
        <f>K49*SQRT(SUMSQ(H49/G49,Masses!H52/Masses!G52))</f>
        <v>3.6031652845744284E-2</v>
      </c>
      <c r="M49" s="113">
        <v>22.5</v>
      </c>
      <c r="N49" s="113">
        <f>Masses!K52</f>
        <v>6.2904518314499995</v>
      </c>
      <c r="O49" s="113">
        <f t="shared" ref="O49" si="61">LN(G49)</f>
        <v>0.92066945441540804</v>
      </c>
      <c r="P49" s="113">
        <f t="shared" ref="P49" si="62">(H49/G49)</f>
        <v>4.0735455267191543E-2</v>
      </c>
      <c r="R49" s="53"/>
      <c r="S49" s="53"/>
      <c r="T49" s="61"/>
      <c r="U49" s="61"/>
      <c r="V49" s="61"/>
      <c r="W49" s="61"/>
      <c r="X49" s="111"/>
      <c r="Y49" s="111"/>
      <c r="Z49" s="61"/>
      <c r="AM49" s="111"/>
    </row>
    <row r="50" spans="1:39" ht="14.5">
      <c r="A50" s="266"/>
      <c r="B50" s="266"/>
      <c r="C50" s="296"/>
      <c r="D50" s="296"/>
      <c r="E50" s="297"/>
      <c r="F50" s="297"/>
      <c r="G50" s="113"/>
      <c r="H50" s="113"/>
      <c r="I50" s="64">
        <f t="shared" ref="I50" si="63">(G49+G51)/2</f>
        <v>2.7120936846219901</v>
      </c>
      <c r="J50" s="64">
        <f t="shared" ref="J50" si="64">SQRT(SUMSQ(H49,H51))/2</f>
        <v>7.2326757860593602E-2</v>
      </c>
      <c r="K50" s="137"/>
      <c r="L50" s="137"/>
      <c r="M50" s="113"/>
      <c r="N50" s="113"/>
      <c r="O50" s="113"/>
      <c r="P50" s="114"/>
      <c r="R50" s="53"/>
      <c r="S50" s="53"/>
      <c r="T50" s="61"/>
      <c r="U50" s="61"/>
      <c r="V50" s="61"/>
      <c r="W50" s="61"/>
      <c r="X50" s="111"/>
      <c r="Y50" s="111"/>
      <c r="Z50" s="61"/>
      <c r="AL50" s="111"/>
      <c r="AM50" s="111"/>
    </row>
    <row r="51" spans="1:39" ht="14.5">
      <c r="A51" s="266">
        <f>Masses!C54</f>
        <v>23.5</v>
      </c>
      <c r="B51" s="266" t="str">
        <f>Masses!A54</f>
        <v xml:space="preserve"> 23-24</v>
      </c>
      <c r="C51" s="296">
        <v>3.61321656135775</v>
      </c>
      <c r="D51" s="296">
        <v>7.2182528720203795E-2</v>
      </c>
      <c r="E51" s="297">
        <v>0.7</v>
      </c>
      <c r="F51" s="297">
        <v>7.2470619323016267E-2</v>
      </c>
      <c r="G51" s="113">
        <f t="shared" ref="G51" si="65">C51-E51</f>
        <v>2.9132165613577499</v>
      </c>
      <c r="H51" s="113">
        <f t="shared" ref="H51" si="66">SQRT(SUMSQ(D51,F51))</f>
        <v>0.10228542475594743</v>
      </c>
      <c r="I51" s="64"/>
      <c r="J51" s="64"/>
      <c r="K51" s="134">
        <f>(G51*Masses!G54)</f>
        <v>0.96448757676250263</v>
      </c>
      <c r="L51" s="134">
        <f>K51*SQRT(SUMSQ(H51/G51,Masses!H54/Masses!G54))</f>
        <v>3.637068713377771E-2</v>
      </c>
      <c r="M51" s="113">
        <v>23.5</v>
      </c>
      <c r="N51" s="113">
        <f>Masses!K54</f>
        <v>6.6224317173999996</v>
      </c>
      <c r="O51" s="113">
        <f t="shared" ref="O51" si="67">LN(G51)</f>
        <v>1.0692578182822172</v>
      </c>
      <c r="P51" s="113">
        <f t="shared" ref="P51" si="68">(H51/G51)</f>
        <v>3.5110820840684676E-2</v>
      </c>
      <c r="R51" s="53"/>
      <c r="S51" s="53"/>
      <c r="T51" s="61"/>
      <c r="U51" s="61"/>
      <c r="V51" s="61"/>
      <c r="W51" s="61"/>
      <c r="X51" s="111"/>
      <c r="Y51" s="111"/>
      <c r="Z51" s="61"/>
      <c r="AM51" s="111"/>
    </row>
    <row r="52" spans="1:39" ht="14.5">
      <c r="A52" s="266"/>
      <c r="B52" s="266"/>
      <c r="C52" s="296"/>
      <c r="D52" s="296"/>
      <c r="E52" s="297"/>
      <c r="F52" s="297"/>
      <c r="G52" s="113"/>
      <c r="H52" s="113"/>
      <c r="I52" s="64">
        <f t="shared" ref="I52" si="69">(G51+G53)/2</f>
        <v>2.5469752918716</v>
      </c>
      <c r="J52" s="64">
        <f t="shared" ref="J52" si="70">SQRT(SUMSQ(H51,H53))/2</f>
        <v>7.232682485833318E-2</v>
      </c>
      <c r="K52" s="137"/>
      <c r="L52" s="137"/>
      <c r="M52" s="113"/>
      <c r="N52" s="113"/>
      <c r="O52" s="113"/>
      <c r="P52" s="114"/>
      <c r="R52" s="53"/>
      <c r="S52" s="53"/>
      <c r="T52" s="61"/>
      <c r="U52" s="61"/>
      <c r="V52" s="61"/>
      <c r="W52" s="61"/>
      <c r="X52" s="111"/>
      <c r="Y52" s="111"/>
      <c r="Z52" s="61"/>
      <c r="AL52" s="111"/>
      <c r="AM52" s="111"/>
    </row>
    <row r="53" spans="1:39" ht="14.5">
      <c r="A53" s="266">
        <f>Masses!C56</f>
        <v>24.5</v>
      </c>
      <c r="B53" s="266" t="str">
        <f>Masses!A56</f>
        <v xml:space="preserve"> 24-25</v>
      </c>
      <c r="C53" s="296">
        <v>2.8807340223854498</v>
      </c>
      <c r="D53" s="296">
        <v>7.2182959164791005E-2</v>
      </c>
      <c r="E53" s="297">
        <v>0.7</v>
      </c>
      <c r="F53" s="297">
        <v>7.2470619323016267E-2</v>
      </c>
      <c r="G53" s="113">
        <f t="shared" ref="G53" si="71">C53-E53</f>
        <v>2.1807340223854501</v>
      </c>
      <c r="H53" s="113">
        <f t="shared" ref="H53" si="72">SQRT(SUMSQ(D53,F53))</f>
        <v>0.10228572851990363</v>
      </c>
      <c r="I53" s="64"/>
      <c r="J53" s="64"/>
      <c r="K53" s="134">
        <f>(G53*Masses!G56)</f>
        <v>0.65824470621275311</v>
      </c>
      <c r="L53" s="134">
        <f>K53*SQRT(SUMSQ(H53/G53,Masses!H56/Masses!G56))</f>
        <v>3.2462036080320035E-2</v>
      </c>
      <c r="M53" s="113">
        <v>24.5</v>
      </c>
      <c r="N53" s="113">
        <f>Masses!K56</f>
        <v>6.9388909965500005</v>
      </c>
      <c r="O53" s="113">
        <f t="shared" ref="O53" si="73">LN(G53)</f>
        <v>0.77966152764400454</v>
      </c>
      <c r="P53" s="113">
        <f t="shared" ref="P53" si="74">(H53/G53)</f>
        <v>4.690426593519912E-2</v>
      </c>
      <c r="R53" s="53"/>
      <c r="S53" s="53"/>
      <c r="T53" s="61"/>
      <c r="U53" s="61"/>
      <c r="V53" s="61"/>
      <c r="W53" s="61"/>
      <c r="X53" s="111"/>
      <c r="Y53" s="111"/>
      <c r="Z53" s="61"/>
      <c r="AL53" s="111"/>
      <c r="AM53" s="111"/>
    </row>
    <row r="54" spans="1:39" ht="14.5">
      <c r="A54" s="266"/>
      <c r="B54" s="266"/>
      <c r="C54" s="296"/>
      <c r="D54" s="296"/>
      <c r="E54" s="297"/>
      <c r="F54" s="297"/>
      <c r="G54" s="113"/>
      <c r="H54" s="113"/>
      <c r="I54" s="64">
        <f t="shared" ref="I54" si="75">(G53+G55)/2</f>
        <v>2.1600719399760302</v>
      </c>
      <c r="J54" s="64">
        <f t="shared" ref="J54" si="76">SQRT(SUMSQ(H53,H55))/2</f>
        <v>7.2326923375621008E-2</v>
      </c>
      <c r="K54" s="137"/>
      <c r="L54" s="137"/>
      <c r="M54" s="113"/>
      <c r="N54" s="113"/>
      <c r="O54" s="113"/>
      <c r="P54" s="114"/>
      <c r="R54" s="53"/>
      <c r="S54" s="53"/>
      <c r="T54" s="61"/>
      <c r="U54" s="61"/>
      <c r="V54" s="61"/>
      <c r="W54" s="61"/>
      <c r="X54" s="111"/>
      <c r="Y54" s="111"/>
      <c r="Z54" s="61"/>
      <c r="AL54" s="111"/>
      <c r="AM54" s="111"/>
    </row>
    <row r="55" spans="1:39" ht="14.5">
      <c r="A55" s="266">
        <f>Masses!C58</f>
        <v>25.5</v>
      </c>
      <c r="B55" s="266" t="str">
        <f>Masses!A58</f>
        <v xml:space="preserve"> 25-26</v>
      </c>
      <c r="C55" s="296">
        <v>2.83940985756661</v>
      </c>
      <c r="D55" s="296">
        <v>7.2182923576306096E-2</v>
      </c>
      <c r="E55" s="297">
        <v>0.7</v>
      </c>
      <c r="F55" s="297">
        <v>7.2470619323016267E-2</v>
      </c>
      <c r="G55" s="113">
        <f t="shared" ref="G55" si="77">C55-E55</f>
        <v>2.1394098575666103</v>
      </c>
      <c r="H55" s="113">
        <f t="shared" ref="H55" si="78">SQRT(SUMSQ(D55,F55))</f>
        <v>0.10228570340514057</v>
      </c>
      <c r="I55" s="64"/>
      <c r="J55" s="64"/>
      <c r="K55" s="134">
        <f>(G55*Masses!G58)</f>
        <v>0.67035904071311136</v>
      </c>
      <c r="L55" s="134">
        <f>K55*SQRT(SUMSQ(H55/G55,Masses!H58/Masses!G58))</f>
        <v>3.3605878178550201E-2</v>
      </c>
      <c r="M55" s="113">
        <v>25.5</v>
      </c>
      <c r="N55" s="113">
        <f>Masses!K58</f>
        <v>7.2464828845499998</v>
      </c>
      <c r="O55" s="113">
        <f t="shared" ref="O55" si="79">LN(G55)</f>
        <v>0.76053002351067511</v>
      </c>
      <c r="P55" s="113">
        <f t="shared" ref="P55" si="80">(H55/G55)</f>
        <v>4.781024217654186E-2</v>
      </c>
      <c r="R55" s="53"/>
      <c r="S55" s="53"/>
      <c r="T55" s="61"/>
      <c r="U55" s="61"/>
      <c r="V55" s="61"/>
      <c r="W55" s="61"/>
      <c r="X55" s="111"/>
      <c r="Y55" s="111"/>
      <c r="Z55" s="61"/>
      <c r="AL55" s="111"/>
      <c r="AM55" s="111"/>
    </row>
    <row r="56" spans="1:39" ht="14.5">
      <c r="A56" s="266"/>
      <c r="B56" s="266"/>
      <c r="C56" s="296"/>
      <c r="D56" s="296"/>
      <c r="E56" s="297"/>
      <c r="F56" s="297"/>
      <c r="G56" s="113"/>
      <c r="H56" s="113"/>
      <c r="I56" s="64">
        <f t="shared" ref="I56" si="81">(G55+G57)/2</f>
        <v>2.1042249943866054</v>
      </c>
      <c r="J56" s="64">
        <f t="shared" ref="J56" si="82">SQRT(SUMSQ(H55,H57))/2</f>
        <v>7.2326975639825666E-2</v>
      </c>
      <c r="K56" s="137"/>
      <c r="L56" s="137"/>
      <c r="M56" s="113"/>
      <c r="N56" s="113"/>
      <c r="O56" s="113"/>
      <c r="P56" s="114"/>
      <c r="R56" s="53"/>
      <c r="S56" s="53"/>
      <c r="T56" s="61"/>
      <c r="U56" s="61"/>
      <c r="V56" s="61"/>
      <c r="W56" s="61"/>
      <c r="X56" s="111"/>
      <c r="Y56" s="111"/>
      <c r="Z56" s="61"/>
      <c r="AL56" s="111"/>
      <c r="AM56" s="111"/>
    </row>
    <row r="57" spans="1:39" ht="14.5">
      <c r="A57" s="266">
        <f>Masses!C60</f>
        <v>26.5</v>
      </c>
      <c r="B57" s="266" t="str">
        <f>Masses!A60</f>
        <v xml:space="preserve"> 26-27</v>
      </c>
      <c r="C57" s="296">
        <v>2.7690401312066002</v>
      </c>
      <c r="D57" s="296">
        <v>7.2183168638331602E-2</v>
      </c>
      <c r="E57" s="297">
        <v>0.7</v>
      </c>
      <c r="F57" s="297">
        <v>7.2470619323016267E-2</v>
      </c>
      <c r="G57" s="113">
        <f t="shared" ref="G57" si="83">C57-E57</f>
        <v>2.0690401312066005</v>
      </c>
      <c r="H57" s="113">
        <f t="shared" ref="H57" si="84">SQRT(SUMSQ(D57,F57))</f>
        <v>0.10228587634532618</v>
      </c>
      <c r="I57" s="64"/>
      <c r="J57" s="64"/>
      <c r="K57" s="134">
        <f>(G57*Masses!G60)</f>
        <v>0.62212155701975558</v>
      </c>
      <c r="L57" s="134">
        <f>K57*SQRT(SUMSQ(H57/G57,Masses!H60/Masses!G60))</f>
        <v>3.2395854536485046E-2</v>
      </c>
      <c r="M57" s="113">
        <v>26.5</v>
      </c>
      <c r="N57" s="113">
        <f>Masses!K60</f>
        <v>7.5534926540499994</v>
      </c>
      <c r="O57" s="113">
        <f t="shared" ref="O57" si="85">LN(G57)</f>
        <v>0.72708479500188083</v>
      </c>
      <c r="P57" s="113">
        <f t="shared" ref="P57" si="86">(H57/G57)</f>
        <v>4.9436390721757636E-2</v>
      </c>
      <c r="R57" s="53"/>
      <c r="S57" s="53"/>
      <c r="T57" s="61"/>
      <c r="U57" s="61"/>
      <c r="V57" s="61"/>
      <c r="W57" s="61"/>
      <c r="X57" s="111"/>
      <c r="Y57" s="111"/>
      <c r="Z57" s="61"/>
      <c r="AL57" s="111"/>
      <c r="AM57" s="111"/>
    </row>
    <row r="58" spans="1:39" ht="14.5">
      <c r="A58" s="266"/>
      <c r="B58" s="266"/>
      <c r="C58" s="296"/>
      <c r="D58" s="296"/>
      <c r="E58" s="297"/>
      <c r="F58" s="297"/>
      <c r="G58" s="113"/>
      <c r="H58" s="113"/>
      <c r="I58" s="64">
        <f t="shared" ref="I58" si="87">(G57+G59)/2</f>
        <v>2.0217078691407004</v>
      </c>
      <c r="J58" s="64">
        <f t="shared" ref="J58" si="88">SQRT(SUMSQ(H57,H59))/2</f>
        <v>7.2327065416821018E-2</v>
      </c>
      <c r="K58" s="137"/>
      <c r="L58" s="137"/>
      <c r="M58" s="113"/>
      <c r="N58" s="113"/>
      <c r="O58" s="113"/>
      <c r="P58" s="114"/>
      <c r="R58" s="53"/>
      <c r="S58" s="53"/>
      <c r="T58" s="61"/>
      <c r="U58" s="61"/>
      <c r="V58" s="61"/>
      <c r="W58" s="61"/>
      <c r="X58" s="111"/>
      <c r="Y58" s="111"/>
      <c r="Z58" s="61"/>
      <c r="AL58" s="111"/>
      <c r="AM58" s="111"/>
    </row>
    <row r="59" spans="1:39" ht="14.5">
      <c r="A59" s="266">
        <f>Masses!C62</f>
        <v>27.5</v>
      </c>
      <c r="B59" s="266" t="str">
        <f>Masses!A62</f>
        <v xml:space="preserve"> 27-28</v>
      </c>
      <c r="C59" s="296">
        <v>2.6743756070748002</v>
      </c>
      <c r="D59" s="296">
        <v>7.2183283400268902E-2</v>
      </c>
      <c r="E59" s="297">
        <v>0.7</v>
      </c>
      <c r="F59" s="297">
        <v>7.2470619323016267E-2</v>
      </c>
      <c r="G59" s="113">
        <f t="shared" ref="G59" si="89">C59-E59</f>
        <v>1.9743756070748002</v>
      </c>
      <c r="H59" s="113">
        <f t="shared" ref="H59" si="90">SQRT(SUMSQ(D59,F59))</f>
        <v>0.10228595733288648</v>
      </c>
      <c r="I59" s="64"/>
      <c r="J59" s="64"/>
      <c r="K59" s="134">
        <f>(G59*Masses!G62)</f>
        <v>0.61546257314130826</v>
      </c>
      <c r="L59" s="134">
        <f>K59*SQRT(SUMSQ(H59/G59,Masses!H62/Masses!G62))</f>
        <v>3.3495213202015477E-2</v>
      </c>
      <c r="M59" s="113">
        <v>27.5</v>
      </c>
      <c r="N59" s="113">
        <f>Masses!K62</f>
        <v>7.8596958605499996</v>
      </c>
      <c r="O59" s="113">
        <f t="shared" ref="O59" si="91">LN(G59)</f>
        <v>0.68025220005111386</v>
      </c>
      <c r="P59" s="113">
        <f t="shared" ref="P59" si="92">(H59/G59)</f>
        <v>5.1806736755845323E-2</v>
      </c>
      <c r="R59" s="53"/>
      <c r="S59" s="53"/>
      <c r="T59" s="61"/>
      <c r="U59" s="61"/>
      <c r="V59" s="111"/>
      <c r="W59" s="61"/>
      <c r="X59" s="111"/>
      <c r="Y59" s="111"/>
      <c r="Z59" s="61"/>
      <c r="AL59" s="111"/>
      <c r="AM59" s="111"/>
    </row>
    <row r="60" spans="1:39" ht="14.5">
      <c r="A60" s="266"/>
      <c r="B60" s="266"/>
      <c r="C60" s="296"/>
      <c r="D60" s="296"/>
      <c r="E60" s="297"/>
      <c r="F60" s="297"/>
      <c r="G60" s="113"/>
      <c r="H60" s="113"/>
      <c r="I60" s="64">
        <f t="shared" ref="I60" si="93">(G59+G61)/2</f>
        <v>1.6223039023126451</v>
      </c>
      <c r="J60" s="64">
        <f t="shared" ref="J60" si="94">SQRT(SUMSQ(H59,H61))/2</f>
        <v>7.2327731881794546E-2</v>
      </c>
      <c r="K60" s="137"/>
      <c r="L60" s="137"/>
      <c r="M60" s="113"/>
      <c r="N60" s="113"/>
      <c r="O60" s="113"/>
      <c r="P60" s="114"/>
      <c r="R60" s="53"/>
      <c r="S60" s="53"/>
      <c r="T60" s="61"/>
      <c r="U60" s="61"/>
      <c r="V60" s="111"/>
      <c r="W60" s="61"/>
      <c r="X60" s="111"/>
      <c r="Y60" s="111"/>
      <c r="Z60" s="61"/>
      <c r="AL60" s="111"/>
      <c r="AM60" s="111"/>
    </row>
    <row r="61" spans="1:39" ht="14.5">
      <c r="A61" s="266">
        <f>Masses!C64</f>
        <v>28.5</v>
      </c>
      <c r="B61" s="266" t="str">
        <f>Masses!A64</f>
        <v xml:space="preserve"> 28-29</v>
      </c>
      <c r="C61" s="296">
        <v>1.9702321975504899</v>
      </c>
      <c r="D61" s="296">
        <v>7.2185839775487995E-2</v>
      </c>
      <c r="E61" s="297">
        <v>0.7</v>
      </c>
      <c r="F61" s="297">
        <v>7.2470619323016267E-2</v>
      </c>
      <c r="G61" s="113">
        <f t="shared" ref="G61" si="95">C61-E61</f>
        <v>1.27023219755049</v>
      </c>
      <c r="H61" s="113">
        <f t="shared" ref="H61" si="96">SQRT(SUMSQ(D61,F61))</f>
        <v>0.10228776138499641</v>
      </c>
      <c r="I61" s="64"/>
      <c r="J61" s="64"/>
      <c r="K61" s="134">
        <f>(G61*Masses!G64)</f>
        <v>0.38557106239846728</v>
      </c>
      <c r="L61" s="134">
        <f>K61*SQRT(SUMSQ(H61/G61,Masses!H64/Masses!G64))</f>
        <v>3.1734498109050199E-2</v>
      </c>
      <c r="M61" s="113">
        <v>28.5</v>
      </c>
      <c r="N61" s="113">
        <f>Masses!K64</f>
        <v>8.1673303279000002</v>
      </c>
      <c r="O61" s="113">
        <f t="shared" ref="O61" si="97">LN(G61)</f>
        <v>0.23919971647555693</v>
      </c>
      <c r="P61" s="113">
        <f t="shared" ref="P61" si="98">(H61/G61)</f>
        <v>8.0526821460082387E-2</v>
      </c>
      <c r="R61" s="53"/>
      <c r="S61" s="53"/>
      <c r="T61" s="61"/>
      <c r="U61" s="61"/>
      <c r="V61" s="111"/>
      <c r="W61" s="61"/>
      <c r="X61" s="111"/>
      <c r="Y61" s="111"/>
      <c r="Z61" s="61"/>
      <c r="AL61" s="111"/>
      <c r="AM61" s="111"/>
    </row>
    <row r="62" spans="1:39" ht="14.5">
      <c r="A62" s="266"/>
      <c r="B62" s="266"/>
      <c r="C62" s="296"/>
      <c r="D62" s="296"/>
      <c r="E62" s="297"/>
      <c r="F62" s="297"/>
      <c r="G62" s="113"/>
      <c r="H62" s="113"/>
      <c r="I62" s="64">
        <f t="shared" ref="I62" si="99">(G61+G63)/2</f>
        <v>1.2002282466188801</v>
      </c>
      <c r="J62" s="64">
        <f t="shared" ref="J62" si="100">SQRT(SUMSQ(H61,H63))/2</f>
        <v>7.2328555221808657E-2</v>
      </c>
      <c r="K62" s="137"/>
      <c r="L62" s="137"/>
      <c r="M62" s="113"/>
      <c r="N62" s="113"/>
      <c r="O62" s="113"/>
      <c r="P62" s="114"/>
      <c r="R62" s="53"/>
      <c r="S62" s="53"/>
      <c r="T62" s="61"/>
      <c r="U62" s="61"/>
      <c r="V62" s="111"/>
      <c r="W62" s="61"/>
      <c r="X62" s="111"/>
      <c r="Y62" s="111"/>
      <c r="Z62" s="61"/>
      <c r="AL62" s="111"/>
      <c r="AM62" s="111"/>
    </row>
    <row r="63" spans="1:39" ht="14.5">
      <c r="A63" s="266">
        <f>Masses!C66</f>
        <v>29.5</v>
      </c>
      <c r="B63" s="266" t="str">
        <f>Masses!A66</f>
        <v xml:space="preserve"> 29-30</v>
      </c>
      <c r="C63" s="296">
        <v>1.8302242956872701</v>
      </c>
      <c r="D63" s="296">
        <v>7.2186583294137102E-2</v>
      </c>
      <c r="E63" s="297">
        <v>0.7</v>
      </c>
      <c r="F63" s="297">
        <v>7.2470619323016267E-2</v>
      </c>
      <c r="G63" s="277">
        <f>C63-E63</f>
        <v>1.1302242956872701</v>
      </c>
      <c r="H63" s="113">
        <f t="shared" ref="H63" si="101">SQRT(SUMSQ(D63,F63))</f>
        <v>0.10228828609739696</v>
      </c>
      <c r="I63" s="64"/>
      <c r="J63" s="64"/>
      <c r="K63" s="134">
        <f>(G63*Masses!G66)</f>
        <v>0.36950700278550569</v>
      </c>
      <c r="L63" s="134">
        <f>K63*SQRT(SUMSQ(H63/G63,Masses!H66/Masses!G66))</f>
        <v>3.3911974923745765E-2</v>
      </c>
      <c r="M63" s="113">
        <v>29.5</v>
      </c>
      <c r="N63" s="113">
        <f>Masses!K66</f>
        <v>8.4825684370000012</v>
      </c>
      <c r="O63" s="113">
        <f t="shared" ref="O63" si="102">LN(G63)</f>
        <v>0.1224161047860126</v>
      </c>
      <c r="P63" s="113">
        <f t="shared" ref="P63" si="103">(H63/G63)</f>
        <v>9.0502643137039623E-2</v>
      </c>
      <c r="R63" s="53"/>
      <c r="S63" s="53"/>
      <c r="T63" s="61"/>
      <c r="U63" s="61"/>
      <c r="V63" s="111"/>
      <c r="W63" s="61"/>
      <c r="X63" s="111"/>
      <c r="Y63" s="111"/>
      <c r="Z63" s="61"/>
      <c r="AL63" s="111"/>
      <c r="AM63" s="111"/>
    </row>
    <row r="64" spans="1:39" ht="14.5">
      <c r="A64" s="266"/>
      <c r="B64" s="266"/>
      <c r="C64" s="296"/>
      <c r="D64" s="296"/>
      <c r="E64" s="297"/>
      <c r="F64" s="297"/>
      <c r="G64" s="113"/>
      <c r="H64" s="113"/>
      <c r="I64" s="64">
        <f t="shared" ref="I64" si="104">(G63+G65)/2</f>
        <v>1.0837951774882801</v>
      </c>
      <c r="J64" s="64">
        <f t="shared" ref="J64" si="105">SQRT(SUMSQ(H63,H65))/2</f>
        <v>7.2333375795831295E-2</v>
      </c>
      <c r="K64" s="137"/>
      <c r="L64" s="137"/>
      <c r="M64" s="113"/>
      <c r="N64" s="113"/>
      <c r="O64" s="113"/>
      <c r="P64" s="114"/>
      <c r="R64" s="53"/>
      <c r="S64" s="53"/>
      <c r="T64" s="61"/>
      <c r="U64" s="61"/>
      <c r="V64" s="111"/>
      <c r="W64" s="61"/>
      <c r="X64" s="111"/>
      <c r="Y64" s="111"/>
      <c r="Z64" s="61"/>
      <c r="AL64" s="111"/>
      <c r="AM64" s="111"/>
    </row>
    <row r="65" spans="1:39" ht="14.5">
      <c r="A65" s="266">
        <f>Masses!C68</f>
        <v>30.5</v>
      </c>
      <c r="B65" s="266" t="str">
        <f>Masses!A68</f>
        <v xml:space="preserve"> 20-31</v>
      </c>
      <c r="C65" s="296">
        <v>1.7373660592892901</v>
      </c>
      <c r="D65" s="296">
        <v>7.2205158252574606E-2</v>
      </c>
      <c r="E65" s="297">
        <v>0.7</v>
      </c>
      <c r="F65" s="297">
        <v>7.2470619323016267E-2</v>
      </c>
      <c r="G65" s="277">
        <f>C65-E65</f>
        <v>1.0373660592892902</v>
      </c>
      <c r="H65" s="113">
        <f t="shared" ref="H65" si="106">SQRT(SUMSQ(D65,F65))</f>
        <v>0.10230139560798221</v>
      </c>
      <c r="I65" s="64"/>
      <c r="J65" s="64"/>
      <c r="K65" s="134">
        <f>(G65*Masses!G68)</f>
        <v>0.34406939126270109</v>
      </c>
      <c r="L65" s="134">
        <f>K65*SQRT(SUMSQ(H65/G65,Masses!H68/Masses!G68))</f>
        <v>3.4343128374417643E-2</v>
      </c>
      <c r="M65" s="113">
        <v>30.5</v>
      </c>
      <c r="N65" s="113">
        <f>Masses!K68</f>
        <v>8.8118726478000013</v>
      </c>
      <c r="O65" s="113">
        <f t="shared" ref="O65" si="107">LN(G65)</f>
        <v>3.6684865308458867E-2</v>
      </c>
      <c r="P65" s="113">
        <f t="shared" ref="P65" si="108">(H65/G65)</f>
        <v>9.8616486139974466E-2</v>
      </c>
      <c r="R65" s="53"/>
      <c r="S65" s="53"/>
      <c r="T65" s="61"/>
      <c r="U65" s="61"/>
      <c r="V65" s="111"/>
      <c r="W65" s="61"/>
      <c r="X65" s="111"/>
      <c r="Y65" s="111"/>
      <c r="Z65" s="61"/>
      <c r="AL65" s="111"/>
      <c r="AM65" s="111"/>
    </row>
    <row r="66" spans="1:39" ht="14.5">
      <c r="A66" s="266"/>
      <c r="B66" s="266"/>
      <c r="C66" s="296"/>
      <c r="D66" s="296"/>
      <c r="E66" s="297"/>
      <c r="F66" s="297"/>
      <c r="G66" s="113"/>
      <c r="H66" s="113"/>
      <c r="I66" s="64">
        <f t="shared" ref="I66" si="109">(G65+G67)/2</f>
        <v>0.84900629735808009</v>
      </c>
      <c r="J66" s="64">
        <f t="shared" ref="J66" si="110">SQRT(SUMSQ(H65,H67))/2</f>
        <v>7.233571232953534E-2</v>
      </c>
      <c r="K66" s="137"/>
      <c r="L66" s="137"/>
      <c r="M66" s="113"/>
      <c r="N66" s="113"/>
      <c r="O66" s="113"/>
      <c r="P66" s="114"/>
      <c r="R66" s="53"/>
      <c r="S66" s="53"/>
      <c r="T66" s="61"/>
      <c r="U66" s="61"/>
      <c r="V66" s="111"/>
      <c r="W66" s="61"/>
      <c r="X66" s="111"/>
      <c r="Y66" s="111"/>
      <c r="Z66" s="61"/>
      <c r="AL66" s="111"/>
      <c r="AM66" s="111"/>
    </row>
    <row r="67" spans="1:39" ht="14.5">
      <c r="A67" s="266">
        <f>Masses!C70</f>
        <v>31.5</v>
      </c>
      <c r="B67" s="266" t="str">
        <f>Masses!A70</f>
        <v xml:space="preserve"> 31-32</v>
      </c>
      <c r="C67" s="296">
        <v>1.36064653542687</v>
      </c>
      <c r="D67" s="296">
        <v>7.2195947978281605E-2</v>
      </c>
      <c r="E67" s="297">
        <v>0.7</v>
      </c>
      <c r="F67" s="297">
        <v>7.2470619323016267E-2</v>
      </c>
      <c r="G67" s="277">
        <f t="shared" ref="G67" si="111">C67-E67</f>
        <v>0.66064653542687002</v>
      </c>
      <c r="H67" s="113">
        <f t="shared" ref="H67" si="112">SQRT(SUMSQ(D67,F67))</f>
        <v>0.10229489512944565</v>
      </c>
      <c r="I67" s="64"/>
      <c r="J67" s="64"/>
      <c r="K67" s="134">
        <f>(G67*Masses!G70)</f>
        <v>0.19908776108534834</v>
      </c>
      <c r="L67" s="134">
        <f>K67*SQRT(SUMSQ(H67/G67,Masses!H70/Masses!G70))</f>
        <v>3.1000946252618022E-2</v>
      </c>
      <c r="M67" s="113">
        <v>31.5</v>
      </c>
      <c r="N67" s="113">
        <f>Masses!K70</f>
        <v>9.1283870904000004</v>
      </c>
      <c r="O67" s="113">
        <f t="shared" ref="O67" si="113">LN(G67)</f>
        <v>-0.4145363243241581</v>
      </c>
      <c r="P67" s="113">
        <f t="shared" ref="P67" si="114">(H67/G67)</f>
        <v>0.15484058364636522</v>
      </c>
      <c r="R67" s="53"/>
      <c r="S67" s="53"/>
      <c r="T67" s="61"/>
      <c r="U67" s="61"/>
      <c r="V67" s="111"/>
      <c r="W67" s="61"/>
      <c r="X67" s="111"/>
      <c r="Y67" s="111"/>
      <c r="Z67" s="61"/>
      <c r="AL67" s="111"/>
      <c r="AM67" s="111"/>
    </row>
    <row r="68" spans="1:39" ht="14.5">
      <c r="A68" s="266"/>
      <c r="B68" s="266"/>
      <c r="C68" s="296"/>
      <c r="D68" s="296"/>
      <c r="E68" s="297"/>
      <c r="F68" s="297"/>
      <c r="G68" s="113"/>
      <c r="H68" s="113"/>
      <c r="I68" s="64">
        <f t="shared" ref="I68" si="115">(G67+G69)/2</f>
        <v>0.61341396720149499</v>
      </c>
      <c r="J68" s="64">
        <f t="shared" ref="J68" si="116">SQRT(SUMSQ(H67,H69))/2</f>
        <v>7.2336255527063381E-2</v>
      </c>
      <c r="K68" s="137"/>
      <c r="L68" s="137"/>
      <c r="M68" s="113"/>
      <c r="N68" s="113"/>
      <c r="O68" s="113"/>
      <c r="P68" s="114"/>
      <c r="R68" s="53"/>
      <c r="S68" s="53"/>
      <c r="T68" s="61"/>
      <c r="U68" s="61"/>
      <c r="V68" s="111"/>
      <c r="W68" s="61"/>
      <c r="X68" s="111"/>
      <c r="Y68" s="111"/>
      <c r="Z68" s="61"/>
      <c r="AL68" s="111"/>
      <c r="AM68" s="111"/>
    </row>
    <row r="69" spans="1:39" ht="14.5">
      <c r="A69" s="266">
        <f>Masses!C72</f>
        <v>32.5</v>
      </c>
      <c r="B69" s="266" t="str">
        <f>Masses!A72</f>
        <v xml:space="preserve"> 32-33</v>
      </c>
      <c r="C69" s="296">
        <v>1.2661813989761199</v>
      </c>
      <c r="D69" s="296">
        <v>7.2207334946670101E-2</v>
      </c>
      <c r="E69" s="297">
        <v>0.7</v>
      </c>
      <c r="F69" s="297">
        <v>7.2470619323016267E-2</v>
      </c>
      <c r="G69" s="277">
        <f t="shared" ref="G69" si="117">C69-E69</f>
        <v>0.56618139897611997</v>
      </c>
      <c r="H69" s="113">
        <f t="shared" ref="H69" si="118">SQRT(SUMSQ(D69,F69))</f>
        <v>0.10230293194802456</v>
      </c>
      <c r="I69" s="64"/>
      <c r="J69" s="64"/>
      <c r="K69" s="134">
        <f>(G69*Masses!G72)</f>
        <v>0.17233849579589505</v>
      </c>
      <c r="L69" s="134">
        <f>K69*SQRT(SUMSQ(H69/G69,Masses!H72/Masses!G72))</f>
        <v>3.1276449731869813E-2</v>
      </c>
      <c r="M69" s="113">
        <v>32.5</v>
      </c>
      <c r="N69" s="113">
        <f>Masses!K72</f>
        <v>9.4312572597499997</v>
      </c>
      <c r="O69" s="113">
        <f t="shared" ref="O69" si="119">LN(G69)</f>
        <v>-0.56884075923515875</v>
      </c>
      <c r="P69" s="113">
        <f t="shared" ref="P69" si="120">(H69/G69)</f>
        <v>0.18068931994768594</v>
      </c>
      <c r="R69" s="53"/>
      <c r="S69" s="53"/>
      <c r="T69" s="61"/>
      <c r="U69" s="61"/>
      <c r="V69" s="111"/>
      <c r="W69" s="61"/>
      <c r="X69" s="111"/>
      <c r="Y69" s="111"/>
      <c r="Z69" s="61"/>
      <c r="AL69" s="111"/>
      <c r="AM69" s="111"/>
    </row>
    <row r="70" spans="1:39" ht="14.5">
      <c r="A70" s="266"/>
      <c r="B70" s="266"/>
      <c r="C70" s="296"/>
      <c r="D70" s="296"/>
      <c r="E70" s="297"/>
      <c r="F70" s="297"/>
      <c r="G70" s="113"/>
      <c r="H70" s="113"/>
      <c r="I70" s="64">
        <f t="shared" ref="I70" si="121">(G69+G71)/2</f>
        <v>0.45590771435528499</v>
      </c>
      <c r="J70" s="64">
        <f t="shared" ref="J70" si="122">SQRT(SUMSQ(H69,H71))/2</f>
        <v>7.2347623368334779E-2</v>
      </c>
      <c r="K70" s="137"/>
      <c r="L70" s="137"/>
      <c r="M70" s="113"/>
      <c r="N70" s="113"/>
      <c r="O70" s="113"/>
      <c r="P70" s="114"/>
      <c r="R70" s="53"/>
      <c r="S70" s="53"/>
      <c r="T70" s="61"/>
      <c r="U70" s="61"/>
      <c r="V70" s="111"/>
      <c r="W70" s="61"/>
      <c r="X70" s="111"/>
      <c r="Y70" s="111"/>
      <c r="Z70" s="61"/>
      <c r="AL70" s="111"/>
      <c r="AM70" s="111"/>
    </row>
    <row r="71" spans="1:39" ht="15">
      <c r="A71" s="266">
        <f>Masses!C74</f>
        <v>33.5</v>
      </c>
      <c r="B71" s="266" t="str">
        <f>Masses!A74</f>
        <v xml:space="preserve"> 33-34</v>
      </c>
      <c r="C71" s="296">
        <v>1.04563402973445</v>
      </c>
      <c r="D71" s="296">
        <v>7.2241496924980705E-2</v>
      </c>
      <c r="E71" s="297">
        <v>0.7</v>
      </c>
      <c r="F71" s="297">
        <v>7.2470619323016267E-2</v>
      </c>
      <c r="G71" s="277">
        <f t="shared" ref="G71" si="123">C71-E71</f>
        <v>0.34563402973445001</v>
      </c>
      <c r="H71" s="113">
        <f t="shared" ref="H71" si="124">SQRT(SUMSQ(D71,F71))</f>
        <v>0.10232704697695295</v>
      </c>
      <c r="I71" s="64"/>
      <c r="J71" s="64"/>
      <c r="K71" s="134">
        <f>(G71*Masses!G74)</f>
        <v>0.10124974275258565</v>
      </c>
      <c r="L71" s="134">
        <f>K71*SQRT(SUMSQ(H71/G71,Masses!H74/Masses!G74))</f>
        <v>3.0030000728893665E-2</v>
      </c>
      <c r="M71" s="113">
        <v>33.5</v>
      </c>
      <c r="N71" s="113">
        <f>Masses!K74</f>
        <v>9.7299205507999993</v>
      </c>
      <c r="O71" s="113">
        <f t="shared" ref="O71" si="125">LN(G71)</f>
        <v>-1.0623747812328508</v>
      </c>
      <c r="P71" s="113">
        <f t="shared" ref="P71" si="126">(H71/G71)</f>
        <v>0.29605605401635549</v>
      </c>
      <c r="R71" s="53"/>
      <c r="S71" s="53"/>
      <c r="T71" s="265" t="s">
        <v>82</v>
      </c>
      <c r="U71" s="61"/>
      <c r="V71" s="111"/>
      <c r="W71" s="61"/>
      <c r="X71" s="111"/>
      <c r="Y71" s="111"/>
      <c r="Z71" s="61"/>
      <c r="AL71" s="111"/>
      <c r="AM71" s="111"/>
    </row>
    <row r="72" spans="1:39" ht="14.5">
      <c r="A72" s="266"/>
      <c r="B72" s="266"/>
      <c r="C72" s="296"/>
      <c r="D72" s="296"/>
      <c r="E72" s="297"/>
      <c r="F72" s="297"/>
      <c r="G72" s="113"/>
      <c r="H72" s="113"/>
      <c r="I72" s="64">
        <f t="shared" ref="I72" si="127">(G71+G73)/2</f>
        <v>0.29962727421949353</v>
      </c>
      <c r="J72" s="64">
        <f t="shared" ref="J72" si="128">SQRT(SUMSQ(H71,H73))/2</f>
        <v>7.235982020120367E-2</v>
      </c>
      <c r="K72" s="137"/>
      <c r="L72" s="137"/>
      <c r="M72" s="113"/>
      <c r="N72" s="113"/>
      <c r="O72" s="113"/>
      <c r="P72" s="114"/>
      <c r="R72" s="53"/>
      <c r="S72" s="53"/>
      <c r="T72" s="61"/>
      <c r="U72" s="61"/>
      <c r="V72" s="111"/>
      <c r="W72" s="61"/>
      <c r="X72" s="111"/>
      <c r="Y72" s="111"/>
      <c r="Z72" s="61"/>
      <c r="AL72" s="111"/>
      <c r="AM72" s="111"/>
    </row>
    <row r="73" spans="1:39" ht="14.5">
      <c r="A73" s="266">
        <f>Masses!C76</f>
        <v>34.5</v>
      </c>
      <c r="B73" s="266" t="str">
        <f>Masses!A76</f>
        <v xml:space="preserve"> 34-35</v>
      </c>
      <c r="C73" s="296">
        <v>0.95362051870453701</v>
      </c>
      <c r="D73" s="296">
        <v>7.2256204647884806E-2</v>
      </c>
      <c r="E73" s="297">
        <v>0.7</v>
      </c>
      <c r="F73" s="297">
        <v>7.2470619323016267E-2</v>
      </c>
      <c r="G73" s="277">
        <f t="shared" ref="G73" si="129">C73-E73</f>
        <v>0.25362051870453706</v>
      </c>
      <c r="H73" s="113">
        <f t="shared" ref="H73" si="130">SQRT(SUMSQ(D73,F73))</f>
        <v>0.1023374309584648</v>
      </c>
      <c r="I73" s="64"/>
      <c r="J73" s="64"/>
      <c r="K73" s="134">
        <f>(G73*Masses!G76)</f>
        <v>7.6987670973133804E-2</v>
      </c>
      <c r="L73" s="134">
        <f>K73*SQRT(SUMSQ(H73/G73,Masses!H76/Masses!G76))</f>
        <v>3.1093578923455375E-2</v>
      </c>
      <c r="M73" s="113">
        <v>34.5</v>
      </c>
      <c r="N73" s="113">
        <f>Masses!K76</f>
        <v>10.02816742325</v>
      </c>
      <c r="O73" s="113">
        <f t="shared" ref="O73:O91" si="131">LN(G73)</f>
        <v>-1.3719161499738748</v>
      </c>
      <c r="P73" s="113">
        <f t="shared" ref="P73" si="132">(H73/G73)</f>
        <v>0.40350611804278308</v>
      </c>
      <c r="R73" s="53"/>
      <c r="S73" s="53"/>
      <c r="T73" s="61"/>
      <c r="U73" s="61"/>
      <c r="V73" s="111"/>
      <c r="W73" s="61"/>
    </row>
    <row r="74" spans="1:39" ht="14.5">
      <c r="A74" s="266"/>
      <c r="B74" s="266"/>
      <c r="C74" s="296"/>
      <c r="D74" s="296"/>
      <c r="E74" s="297"/>
      <c r="F74" s="297"/>
      <c r="G74" s="113"/>
      <c r="H74" s="113"/>
      <c r="I74" s="64">
        <f t="shared" ref="I74" si="133">(G73+G75)/2</f>
        <v>0.12241766990441455</v>
      </c>
      <c r="J74" s="64">
        <f t="shared" ref="J74" si="134">SQRT(SUMSQ(H73,H75))/2</f>
        <v>7.2391290463523009E-2</v>
      </c>
      <c r="K74" s="137"/>
      <c r="L74" s="137"/>
      <c r="M74" s="113"/>
      <c r="N74" s="113"/>
      <c r="O74" s="113"/>
      <c r="P74" s="114"/>
      <c r="R74" s="53"/>
      <c r="S74" s="53"/>
      <c r="T74" s="61"/>
      <c r="U74" s="61"/>
      <c r="V74" s="111"/>
      <c r="W74" s="61"/>
    </row>
    <row r="75" spans="1:39" ht="14.5">
      <c r="A75" s="266">
        <f>Masses!C78</f>
        <v>35.5</v>
      </c>
      <c r="B75" s="266" t="str">
        <f>Masses!A78</f>
        <v xml:space="preserve"> 35-36</v>
      </c>
      <c r="C75" s="296">
        <v>0.691214821104292</v>
      </c>
      <c r="D75" s="296">
        <v>7.2367501681739305E-2</v>
      </c>
      <c r="E75" s="297">
        <v>0.7</v>
      </c>
      <c r="F75" s="297">
        <v>7.2470619323016267E-2</v>
      </c>
      <c r="G75" s="277">
        <f t="shared" ref="G75" si="135">C75-E75</f>
        <v>-8.7851788957079568E-3</v>
      </c>
      <c r="H75" s="113">
        <f t="shared" ref="H75" si="136">SQRT(SUMSQ(D75,F75))</f>
        <v>0.10241604349279501</v>
      </c>
      <c r="I75" s="64"/>
      <c r="J75" s="64"/>
      <c r="K75" s="134">
        <f>(G75*Masses!G78)</f>
        <v>-2.5576838328238514E-3</v>
      </c>
      <c r="L75" s="134">
        <f>K75*SQRT(SUMSQ(H75/G75,Masses!H78/Masses!G78))</f>
        <v>-2.9817063643403825E-2</v>
      </c>
      <c r="M75" s="113">
        <v>35.5</v>
      </c>
      <c r="N75" s="113">
        <f>Masses!K78</f>
        <v>10.32551282835</v>
      </c>
      <c r="O75" s="113" t="e">
        <f>LN(G75)</f>
        <v>#NUM!</v>
      </c>
      <c r="P75" s="113">
        <f t="shared" ref="P75" si="137">(H75/G75)</f>
        <v>-11.657821053915121</v>
      </c>
      <c r="R75" s="53"/>
      <c r="S75" s="53"/>
      <c r="T75" s="61"/>
      <c r="U75" s="61"/>
      <c r="V75" s="111"/>
      <c r="W75" s="61"/>
    </row>
    <row r="76" spans="1:39" ht="14.5">
      <c r="A76" s="266"/>
      <c r="B76" s="266"/>
      <c r="C76" s="296"/>
      <c r="D76" s="296"/>
      <c r="E76" s="297"/>
      <c r="F76" s="297"/>
      <c r="G76" s="113"/>
      <c r="H76" s="113"/>
      <c r="I76" s="64">
        <f t="shared" ref="I76" si="138">(G75+G77)/2</f>
        <v>-6.0096759681147471E-2</v>
      </c>
      <c r="J76" s="64">
        <f t="shared" ref="J76" si="139">SQRT(SUMSQ(H75,H77))/2</f>
        <v>7.249609004679039E-2</v>
      </c>
      <c r="K76" s="137"/>
      <c r="L76" s="137"/>
      <c r="M76" s="113"/>
      <c r="N76" s="113"/>
      <c r="O76" s="113"/>
      <c r="P76" s="114"/>
      <c r="R76" s="53"/>
      <c r="S76" s="53"/>
      <c r="T76" s="61"/>
      <c r="U76" s="61"/>
      <c r="V76" s="111"/>
      <c r="W76" s="61"/>
    </row>
    <row r="77" spans="1:39" ht="14.5">
      <c r="A77" s="266">
        <f>Masses!C80</f>
        <v>36.5</v>
      </c>
      <c r="B77" s="266" t="str">
        <f>Masses!A80</f>
        <v xml:space="preserve"> 36-37</v>
      </c>
      <c r="C77" s="296">
        <v>0.58859165953341297</v>
      </c>
      <c r="D77" s="296">
        <v>7.2675275427821706E-2</v>
      </c>
      <c r="E77" s="297">
        <v>0.7</v>
      </c>
      <c r="F77" s="297">
        <v>7.2470619323016267E-2</v>
      </c>
      <c r="G77" s="277">
        <f t="shared" ref="G77" si="140">C77-E77</f>
        <v>-0.11140834046658699</v>
      </c>
      <c r="H77" s="113">
        <f t="shared" ref="H77" si="141">SQRT(SUMSQ(D77,F77))</f>
        <v>0.10263374846302402</v>
      </c>
      <c r="I77" s="64"/>
      <c r="J77" s="64"/>
      <c r="K77" s="134">
        <f>(G77*Masses!G80)</f>
        <v>-3.2303297761814002E-2</v>
      </c>
      <c r="L77" s="134">
        <f>K77*SQRT(SUMSQ(H77/G77,Masses!H80/Masses!G80))</f>
        <v>-2.9766008166103784E-2</v>
      </c>
      <c r="M77" s="113">
        <v>36.5</v>
      </c>
      <c r="N77" s="113">
        <f>Masses!K80</f>
        <v>10.616057958700001</v>
      </c>
      <c r="O77" s="113" t="e">
        <f t="shared" si="131"/>
        <v>#NUM!</v>
      </c>
      <c r="P77" s="113">
        <f t="shared" ref="P77" si="142">(H77/G77)</f>
        <v>-0.92123936173167753</v>
      </c>
      <c r="R77" s="53"/>
      <c r="S77" s="53"/>
      <c r="T77" s="61"/>
      <c r="U77" s="61"/>
      <c r="V77" s="111"/>
      <c r="W77" s="61"/>
    </row>
    <row r="78" spans="1:39" ht="14.5">
      <c r="A78" s="266"/>
      <c r="B78" s="266"/>
      <c r="C78" s="296"/>
      <c r="D78" s="296"/>
      <c r="E78" s="297"/>
      <c r="F78" s="297"/>
      <c r="G78" s="113"/>
      <c r="H78" s="113"/>
      <c r="I78" s="64">
        <f t="shared" ref="I78" si="143">(G77+G79)/2</f>
        <v>-0.16472522102317297</v>
      </c>
      <c r="J78" s="64">
        <f t="shared" ref="J78" si="144">SQRT(SUMSQ(H77,H79))/2</f>
        <v>7.2755262144801797E-2</v>
      </c>
      <c r="K78" s="137"/>
      <c r="L78" s="137"/>
      <c r="M78" s="113"/>
      <c r="N78" s="113"/>
      <c r="O78" s="113"/>
      <c r="P78" s="114"/>
      <c r="R78" s="53"/>
      <c r="S78" s="53"/>
      <c r="T78" s="61"/>
      <c r="U78" s="61"/>
      <c r="V78" s="111"/>
      <c r="W78" s="61"/>
    </row>
    <row r="79" spans="1:39" ht="14.5">
      <c r="A79" s="266">
        <f>Masses!C82</f>
        <v>37.5</v>
      </c>
      <c r="B79" s="266" t="str">
        <f>Masses!A82</f>
        <v xml:space="preserve"> 37-38</v>
      </c>
      <c r="C79" s="296">
        <v>0.481957898420241</v>
      </c>
      <c r="D79" s="296">
        <v>7.3400515600385893E-2</v>
      </c>
      <c r="E79" s="297">
        <v>0.7</v>
      </c>
      <c r="F79" s="297">
        <v>7.2470619323016267E-2</v>
      </c>
      <c r="G79" s="277">
        <f t="shared" ref="G79" si="145">C79-E79</f>
        <v>-0.21804210157975895</v>
      </c>
      <c r="H79" s="113">
        <f t="shared" ref="H79" si="146">SQRT(SUMSQ(D79,F79))</f>
        <v>0.10314856448571659</v>
      </c>
      <c r="I79" s="64"/>
      <c r="J79" s="64"/>
      <c r="K79" s="134">
        <f>(G79*Masses!G82)</f>
        <v>-5.693069946586822E-2</v>
      </c>
      <c r="L79" s="134">
        <f>K79*SQRT(SUMSQ(H79/G79,Masses!H82/Masses!G82))</f>
        <v>-2.6958371130466063E-2</v>
      </c>
      <c r="M79" s="113">
        <v>37.5</v>
      </c>
      <c r="N79" s="113">
        <f>Masses!K82</f>
        <v>10.891584761950002</v>
      </c>
      <c r="O79" s="113" t="e">
        <f t="shared" si="131"/>
        <v>#NUM!</v>
      </c>
      <c r="P79" s="113">
        <f t="shared" ref="P79" si="147">(H79/G79)</f>
        <v>-0.47306719086994881</v>
      </c>
      <c r="R79" s="53"/>
      <c r="S79" s="53"/>
      <c r="T79" s="61"/>
      <c r="U79" s="61"/>
      <c r="V79" s="111"/>
      <c r="W79" s="61"/>
    </row>
    <row r="80" spans="1:39" ht="14.5">
      <c r="A80" s="266"/>
      <c r="B80" s="266"/>
      <c r="C80" s="296"/>
      <c r="D80" s="296"/>
      <c r="E80" s="297"/>
      <c r="F80" s="297"/>
      <c r="G80" s="113"/>
      <c r="H80" s="113"/>
      <c r="I80" s="64">
        <f t="shared" ref="I80" si="148">(G79+G81)/2</f>
        <v>-0.23112010756424395</v>
      </c>
      <c r="J80" s="64">
        <f t="shared" ref="J80" si="149">SQRT(SUMSQ(H79,H81))/2</f>
        <v>7.2982757693791131E-2</v>
      </c>
      <c r="K80" s="137"/>
      <c r="L80" s="137"/>
      <c r="M80" s="113"/>
      <c r="N80" s="113"/>
      <c r="O80" s="113"/>
      <c r="P80" s="114"/>
      <c r="R80" s="53"/>
      <c r="S80" s="53"/>
      <c r="T80" s="61"/>
      <c r="U80" s="61"/>
      <c r="V80" s="111"/>
      <c r="W80" s="61"/>
    </row>
    <row r="81" spans="1:23" ht="14.5">
      <c r="A81" s="266">
        <f>Masses!C84</f>
        <v>38.5</v>
      </c>
      <c r="B81" s="266" t="str">
        <f>Masses!A84</f>
        <v xml:space="preserve"> 38-39</v>
      </c>
      <c r="C81" s="296">
        <v>0.45580188645127101</v>
      </c>
      <c r="D81" s="296">
        <v>7.35820267581489E-2</v>
      </c>
      <c r="E81" s="297">
        <v>0.7</v>
      </c>
      <c r="F81" s="297">
        <v>7.2470619323016267E-2</v>
      </c>
      <c r="G81" s="277">
        <f t="shared" ref="G81" si="150">C81-E81</f>
        <v>-0.24419811354872895</v>
      </c>
      <c r="H81" s="113">
        <f t="shared" ref="H81" si="151">SQRT(SUMSQ(D81,F81))</f>
        <v>0.10327780655541867</v>
      </c>
      <c r="I81" s="64"/>
      <c r="J81" s="64"/>
      <c r="K81" s="134">
        <f>(G81*Masses!G84)</f>
        <v>-6.7755151247513273E-2</v>
      </c>
      <c r="L81" s="134">
        <f>K81*SQRT(SUMSQ(H81/G81,Masses!H84/Masses!G84))</f>
        <v>-2.8683372387893466E-2</v>
      </c>
      <c r="M81" s="113">
        <v>38.5</v>
      </c>
      <c r="N81" s="113">
        <f>Masses!K84</f>
        <v>11.160864430700002</v>
      </c>
      <c r="O81" s="113" t="e">
        <f t="shared" si="131"/>
        <v>#NUM!</v>
      </c>
      <c r="P81" s="113">
        <f t="shared" ref="P81" si="152">(H81/G81)</f>
        <v>-0.42292630788406937</v>
      </c>
      <c r="R81" s="53"/>
      <c r="S81" s="53"/>
      <c r="T81" s="61"/>
      <c r="U81" s="61"/>
      <c r="V81" s="111"/>
      <c r="W81" s="61"/>
    </row>
    <row r="82" spans="1:23" ht="14.5">
      <c r="A82" s="266"/>
      <c r="B82" s="266"/>
      <c r="C82" s="296"/>
      <c r="D82" s="296"/>
      <c r="E82" s="297"/>
      <c r="F82" s="297"/>
      <c r="G82" s="113"/>
      <c r="H82" s="113"/>
      <c r="I82" s="64">
        <f t="shared" ref="I82" si="153">(G81+G83)/2</f>
        <v>-0.16524776716344944</v>
      </c>
      <c r="J82" s="64">
        <f t="shared" ref="J82" si="154">SQRT(SUMSQ(H81,H83))/2</f>
        <v>7.2764681316670202E-2</v>
      </c>
      <c r="K82" s="137"/>
      <c r="L82" s="137"/>
      <c r="M82" s="113"/>
      <c r="N82" s="113"/>
      <c r="O82" s="113"/>
      <c r="P82" s="114"/>
      <c r="R82" s="53"/>
      <c r="S82" s="53"/>
      <c r="T82" s="61"/>
      <c r="U82" s="61"/>
      <c r="V82" s="111"/>
      <c r="W82" s="61"/>
    </row>
    <row r="83" spans="1:23" ht="14.5">
      <c r="A83" s="266">
        <f>Masses!C86</f>
        <v>39.5</v>
      </c>
      <c r="B83" s="266" t="str">
        <f>Masses!A86</f>
        <v>39-40</v>
      </c>
      <c r="C83" s="296">
        <v>0.61370257922183002</v>
      </c>
      <c r="D83" s="296">
        <v>7.2529300262075297E-2</v>
      </c>
      <c r="E83" s="297">
        <v>0.7</v>
      </c>
      <c r="F83" s="297">
        <v>7.2470619323016267E-2</v>
      </c>
      <c r="G83" s="277">
        <f t="shared" ref="G83" si="155">C83-E83</f>
        <v>-8.6297420778169931E-2</v>
      </c>
      <c r="H83" s="113">
        <f t="shared" ref="H83" si="156">SQRT(SUMSQ(D83,F83))</f>
        <v>0.10253043480629453</v>
      </c>
      <c r="I83" s="64"/>
      <c r="J83" s="64"/>
      <c r="K83" s="134">
        <f>(G83*Masses!G86)</f>
        <v>-2.4237688062364787E-2</v>
      </c>
      <c r="L83" s="134">
        <f>K83*SQRT(SUMSQ(H83/G83,Masses!H86/Masses!G86))</f>
        <v>-2.8800264363102478E-2</v>
      </c>
      <c r="M83" s="113">
        <v>39.5</v>
      </c>
      <c r="N83" s="113">
        <f>Masses!K86</f>
        <v>11.440025440000003</v>
      </c>
      <c r="O83" s="113" t="e">
        <f t="shared" si="131"/>
        <v>#NUM!</v>
      </c>
      <c r="P83" s="113">
        <f t="shared" ref="P83" si="157">(H83/G83)</f>
        <v>-1.1881054367760544</v>
      </c>
      <c r="R83" s="53"/>
      <c r="S83" s="53"/>
      <c r="T83" s="61"/>
      <c r="U83" s="61"/>
      <c r="V83" s="111"/>
      <c r="W83" s="61"/>
    </row>
    <row r="84" spans="1:23" ht="14.5">
      <c r="A84" s="266"/>
      <c r="B84" s="266"/>
      <c r="C84" s="296"/>
      <c r="D84" s="296"/>
      <c r="E84" s="297"/>
      <c r="F84" s="297"/>
      <c r="G84" s="113"/>
      <c r="H84" s="113"/>
      <c r="I84" s="64">
        <f t="shared" ref="I84" si="158">(G83+G85)/2</f>
        <v>-0.22530143276074993</v>
      </c>
      <c r="J84" s="64">
        <f t="shared" ref="J84" si="159">SQRT(SUMSQ(H83,H85))/2</f>
        <v>7.3517955691487724E-2</v>
      </c>
      <c r="K84" s="137"/>
      <c r="L84" s="137"/>
      <c r="M84" s="113"/>
      <c r="N84" s="113"/>
      <c r="O84" s="113"/>
      <c r="P84" s="114"/>
      <c r="R84" s="53"/>
      <c r="S84" s="53"/>
      <c r="T84" s="61"/>
      <c r="U84" s="61"/>
      <c r="V84" s="111"/>
      <c r="W84" s="61"/>
    </row>
    <row r="85" spans="1:23" ht="14.5">
      <c r="A85" s="266">
        <f>Masses!C88</f>
        <v>40.5</v>
      </c>
      <c r="B85" s="266" t="str">
        <f>Masses!A88</f>
        <v xml:space="preserve"> 40-41</v>
      </c>
      <c r="C85" s="296">
        <v>0.33569455525667002</v>
      </c>
      <c r="D85" s="296">
        <v>7.6518484757559402E-2</v>
      </c>
      <c r="E85" s="297">
        <v>0.7</v>
      </c>
      <c r="F85" s="297">
        <v>7.2470619323016267E-2</v>
      </c>
      <c r="G85" s="277">
        <f t="shared" ref="G85" si="160">C85-E85</f>
        <v>-0.36430544474332993</v>
      </c>
      <c r="H85" s="113">
        <f t="shared" ref="H85" si="161">SQRT(SUMSQ(D85,F85))</f>
        <v>0.10539008100696379</v>
      </c>
      <c r="I85" s="64"/>
      <c r="J85" s="64"/>
      <c r="K85" s="134">
        <f>(G85*Masses!G88)</f>
        <v>-0.10270670675139268</v>
      </c>
      <c r="L85" s="134">
        <f>K85*SQRT(SUMSQ(H85/G85,Masses!H88/Masses!G88))</f>
        <v>-2.97653422125418E-2</v>
      </c>
      <c r="M85" s="113">
        <v>40.5</v>
      </c>
      <c r="N85" s="113">
        <f>Masses!K88</f>
        <v>11.721418921550002</v>
      </c>
      <c r="O85" s="113" t="e">
        <f t="shared" si="131"/>
        <v>#NUM!</v>
      </c>
      <c r="P85" s="113">
        <f t="shared" ref="P85" si="162">(H85/G85)</f>
        <v>-0.28929043616467492</v>
      </c>
      <c r="R85" s="53"/>
      <c r="S85" s="53"/>
      <c r="T85" s="61"/>
      <c r="U85" s="61"/>
      <c r="V85" s="111"/>
      <c r="W85" s="61"/>
    </row>
    <row r="86" spans="1:23" ht="14.5">
      <c r="A86" s="266"/>
      <c r="B86" s="266"/>
      <c r="C86" s="296"/>
      <c r="D86" s="296"/>
      <c r="E86" s="297"/>
      <c r="F86" s="297"/>
      <c r="G86" s="113"/>
      <c r="H86" s="113"/>
      <c r="I86" s="64">
        <f t="shared" ref="I86" si="163">(G85+G87)/2</f>
        <v>-0.38796667335863194</v>
      </c>
      <c r="J86" s="64">
        <f t="shared" ref="J86" si="164">SQRT(SUMSQ(H85,H87))/2</f>
        <v>7.7097853366980607E-2</v>
      </c>
      <c r="K86" s="137"/>
      <c r="L86" s="137"/>
      <c r="M86" s="113"/>
      <c r="N86" s="113"/>
      <c r="O86" s="113"/>
      <c r="P86" s="114"/>
      <c r="R86" s="53"/>
      <c r="S86" s="53"/>
      <c r="T86" s="61"/>
      <c r="U86" s="61"/>
      <c r="V86" s="111"/>
      <c r="W86" s="61"/>
    </row>
    <row r="87" spans="1:23" ht="14.5">
      <c r="A87" s="266">
        <f>Masses!C90</f>
        <v>41.5</v>
      </c>
      <c r="B87" s="266" t="str">
        <f>Masses!A90</f>
        <v xml:space="preserve"> 41-42</v>
      </c>
      <c r="C87" s="296">
        <v>0.288372098026066</v>
      </c>
      <c r="D87" s="296">
        <v>8.6123493516402597E-2</v>
      </c>
      <c r="E87" s="297">
        <v>0.7</v>
      </c>
      <c r="F87" s="297">
        <v>7.2470619323016267E-2</v>
      </c>
      <c r="G87" s="277">
        <f t="shared" ref="G87" si="165">C87-E87</f>
        <v>-0.41162790197393395</v>
      </c>
      <c r="H87" s="113">
        <f t="shared" ref="H87" si="166">SQRT(SUMSQ(D87,F87))</f>
        <v>0.11255774873606605</v>
      </c>
      <c r="I87" s="64"/>
      <c r="J87" s="64"/>
      <c r="K87" s="134">
        <f>(G87*Masses!G90)</f>
        <v>-0.10993630273665568</v>
      </c>
      <c r="L87" s="134">
        <f>K87*SQRT(SUMSQ(H87/G87,Masses!H90/Masses!G90))</f>
        <v>-3.0112203403367805E-2</v>
      </c>
      <c r="M87" s="113">
        <v>41.5</v>
      </c>
      <c r="N87" s="113">
        <f>Masses!K90</f>
        <v>11.995919724850003</v>
      </c>
      <c r="O87" s="113" t="e">
        <f t="shared" si="131"/>
        <v>#NUM!</v>
      </c>
      <c r="P87" s="113">
        <f t="shared" ref="P87" si="167">(H87/G87)</f>
        <v>-0.27344538160873677</v>
      </c>
      <c r="R87" s="53"/>
      <c r="S87" s="53"/>
      <c r="T87" s="61"/>
      <c r="U87" s="61"/>
      <c r="V87" s="111"/>
      <c r="W87" s="61"/>
    </row>
    <row r="88" spans="1:23" ht="14.5">
      <c r="A88" s="266"/>
      <c r="B88" s="266"/>
      <c r="C88" s="296"/>
      <c r="D88" s="296"/>
      <c r="E88" s="297"/>
      <c r="F88" s="297"/>
      <c r="G88" s="113"/>
      <c r="H88" s="113"/>
      <c r="I88" s="64">
        <f t="shared" ref="I88" si="168">(G87+G89)/2</f>
        <v>-0.38891443459271396</v>
      </c>
      <c r="J88" s="64">
        <f t="shared" ref="J88" si="169">SQRT(SUMSQ(H87,H89))/2</f>
        <v>7.7031223433559018E-2</v>
      </c>
      <c r="K88" s="137"/>
      <c r="L88" s="137"/>
      <c r="M88" s="113"/>
      <c r="N88" s="113"/>
      <c r="O88" s="113"/>
      <c r="P88" s="114"/>
      <c r="R88" s="53"/>
      <c r="S88" s="53"/>
      <c r="T88" s="61"/>
      <c r="U88" s="61"/>
      <c r="V88" s="111"/>
      <c r="W88" s="61"/>
    </row>
    <row r="89" spans="1:23" ht="14.5">
      <c r="A89" s="266">
        <f>Masses!C92</f>
        <v>42.5</v>
      </c>
      <c r="B89" s="266" t="str">
        <f>Masses!A92</f>
        <v xml:space="preserve"> 42-43</v>
      </c>
      <c r="C89" s="296">
        <v>0.33379903278850598</v>
      </c>
      <c r="D89" s="296">
        <v>7.6249590615888901E-2</v>
      </c>
      <c r="E89" s="297">
        <v>0.7</v>
      </c>
      <c r="F89" s="297">
        <v>7.2470619323016267E-2</v>
      </c>
      <c r="G89" s="277">
        <f t="shared" ref="G89" si="170">C89-E89</f>
        <v>-0.36620096721149398</v>
      </c>
      <c r="H89" s="113">
        <f t="shared" ref="H89" si="171">SQRT(SUMSQ(D89,F89))</f>
        <v>0.10519501287680985</v>
      </c>
      <c r="I89" s="64"/>
      <c r="J89" s="64"/>
      <c r="K89" s="134">
        <f>(G89*Masses!G92)</f>
        <v>-9.5396071397014379E-2</v>
      </c>
      <c r="L89" s="134">
        <f>K89*SQRT(SUMSQ(H89/G89,Masses!H92/Masses!G92))</f>
        <v>-2.7443522976227805E-2</v>
      </c>
      <c r="M89" s="113">
        <v>42.5</v>
      </c>
      <c r="N89" s="113">
        <f>Masses!K92</f>
        <v>12.259709155600003</v>
      </c>
      <c r="O89" s="113" t="e">
        <f t="shared" si="131"/>
        <v>#NUM!</v>
      </c>
      <c r="P89" s="113">
        <f t="shared" ref="P89" si="172">(H89/G89)</f>
        <v>-0.28726033597845746</v>
      </c>
      <c r="R89" s="53"/>
      <c r="S89" s="53"/>
      <c r="T89" s="61"/>
      <c r="U89" s="61"/>
      <c r="V89" s="111"/>
      <c r="W89" s="61"/>
    </row>
    <row r="90" spans="1:23" ht="14.5">
      <c r="A90" s="266"/>
      <c r="B90" s="266"/>
      <c r="C90" s="296"/>
      <c r="D90" s="296"/>
      <c r="E90" s="297"/>
      <c r="F90" s="297"/>
      <c r="G90" s="113"/>
      <c r="H90" s="113"/>
      <c r="I90" s="64">
        <f t="shared" ref="I90" si="173">(G89+G91)/2</f>
        <v>-0.33885514402216199</v>
      </c>
      <c r="J90" s="64">
        <f t="shared" ref="J90" si="174">SQRT(SUMSQ(H89,H91))/2</f>
        <v>7.400321912652838E-2</v>
      </c>
      <c r="K90" s="137"/>
      <c r="L90" s="137"/>
      <c r="M90" s="113"/>
      <c r="N90" s="113"/>
      <c r="O90" s="113"/>
      <c r="P90" s="114"/>
      <c r="R90" s="53"/>
      <c r="S90" s="53"/>
      <c r="T90" s="61"/>
      <c r="U90" s="61"/>
      <c r="V90" s="111"/>
      <c r="W90" s="61"/>
    </row>
    <row r="91" spans="1:23" ht="14.5">
      <c r="A91" s="266">
        <f>Masses!C94</f>
        <v>43.5</v>
      </c>
      <c r="B91" s="266" t="str">
        <f>Masses!A94</f>
        <v xml:space="preserve"> 43-44</v>
      </c>
      <c r="C91" s="296">
        <v>0.38849067916717001</v>
      </c>
      <c r="D91" s="296">
        <v>7.4752420463434999E-2</v>
      </c>
      <c r="E91" s="297">
        <v>0.7</v>
      </c>
      <c r="F91" s="297">
        <v>7.2470619323016267E-2</v>
      </c>
      <c r="G91" s="277">
        <f t="shared" ref="G91" si="175">C91-E91</f>
        <v>-0.31150932083282995</v>
      </c>
      <c r="H91" s="113">
        <f t="shared" ref="H91" si="176">SQRT(SUMSQ(D91,F91))</f>
        <v>0.10411491262160148</v>
      </c>
      <c r="I91" s="64"/>
      <c r="J91" s="64"/>
      <c r="K91" s="134">
        <f>(G91*Masses!G94)</f>
        <v>-8.3412312239791161E-2</v>
      </c>
      <c r="L91" s="134">
        <f>K91*SQRT(SUMSQ(H91/G91,Masses!H94/Masses!G94))</f>
        <v>-2.7906894604622381E-2</v>
      </c>
      <c r="M91" s="113">
        <v>43.5</v>
      </c>
      <c r="N91" s="113">
        <f>Masses!K94</f>
        <v>12.523844273400002</v>
      </c>
      <c r="O91" s="113" t="e">
        <f t="shared" si="131"/>
        <v>#NUM!</v>
      </c>
      <c r="P91" s="113">
        <f t="shared" ref="P91" si="177">(H91/G91)</f>
        <v>-0.33422727879617531</v>
      </c>
      <c r="R91" s="53"/>
      <c r="S91" s="53"/>
      <c r="T91" s="61"/>
      <c r="U91" s="61"/>
      <c r="V91" s="111"/>
      <c r="W91" s="61"/>
    </row>
    <row r="92" spans="1:23" ht="14.5">
      <c r="A92" s="266"/>
      <c r="B92" s="266"/>
      <c r="C92" s="296"/>
      <c r="D92" s="296"/>
      <c r="E92" s="297"/>
      <c r="F92" s="297"/>
      <c r="G92" s="113"/>
      <c r="H92" s="113"/>
      <c r="I92" s="64">
        <f t="shared" ref="I92" si="178">(G91+G93)/2</f>
        <v>-0.30329815611981148</v>
      </c>
      <c r="J92" s="64">
        <f t="shared" ref="J92" si="179">SQRT(SUMSQ(H91,H93))/2</f>
        <v>7.3455737013108396E-2</v>
      </c>
      <c r="K92" s="137"/>
      <c r="L92" s="137"/>
      <c r="M92" s="113"/>
      <c r="N92" s="113"/>
      <c r="O92" s="113"/>
      <c r="P92" s="114"/>
      <c r="R92" s="53"/>
      <c r="S92" s="53"/>
      <c r="T92" s="61"/>
      <c r="U92" s="61"/>
      <c r="V92" s="111"/>
      <c r="W92" s="61"/>
    </row>
    <row r="93" spans="1:23" ht="14.5">
      <c r="A93" s="266">
        <f>Masses!C96</f>
        <v>44.5</v>
      </c>
      <c r="B93" s="266" t="str">
        <f>Masses!A96</f>
        <v xml:space="preserve"> 44-45</v>
      </c>
      <c r="C93" s="296">
        <v>0.404913008593207</v>
      </c>
      <c r="D93" s="296">
        <v>7.4101791512017595E-2</v>
      </c>
      <c r="E93" s="297">
        <v>0.7</v>
      </c>
      <c r="F93" s="297">
        <v>7.2470619323016267E-2</v>
      </c>
      <c r="G93" s="277">
        <f t="shared" ref="G93" si="180">C93-E93</f>
        <v>-0.29508699140679295</v>
      </c>
      <c r="H93" s="113">
        <f t="shared" ref="H93" si="181">SQRT(SUMSQ(D93,F93))</f>
        <v>0.10364876347719765</v>
      </c>
      <c r="I93" s="64"/>
      <c r="J93" s="64"/>
      <c r="K93" s="134">
        <f>(G93*Masses!G96)</f>
        <v>-7.8018878055752958E-2</v>
      </c>
      <c r="L93" s="134">
        <f>K93*SQRT(SUMSQ(H93/G93,Masses!H96/Masses!G96))</f>
        <v>-2.7430521621852437E-2</v>
      </c>
      <c r="M93" s="113">
        <v>44.5</v>
      </c>
      <c r="N93" s="113">
        <f>Masses!K96</f>
        <v>12.789924812550002</v>
      </c>
      <c r="O93" s="113" t="e">
        <f t="shared" ref="O93" si="182">LN(G93)</f>
        <v>#NUM!</v>
      </c>
      <c r="P93" s="113">
        <f t="shared" ref="P93" si="183">(H93/G93)</f>
        <v>-0.35124816239124673</v>
      </c>
      <c r="R93" s="53"/>
      <c r="S93" s="53"/>
      <c r="T93" s="61"/>
      <c r="U93" s="61"/>
      <c r="V93" s="111"/>
      <c r="W93" s="61"/>
    </row>
    <row r="94" spans="1:23" ht="14.5">
      <c r="A94" s="266"/>
      <c r="B94" s="266"/>
      <c r="C94" s="296"/>
      <c r="D94" s="296"/>
      <c r="E94" s="297"/>
      <c r="F94" s="297"/>
      <c r="G94" s="113"/>
      <c r="H94" s="113"/>
      <c r="I94" s="64">
        <f t="shared" ref="I94" si="184">(G93+G95)/2</f>
        <v>-0.31825855447963547</v>
      </c>
      <c r="J94" s="64">
        <f t="shared" ref="J94" si="185">SQRT(SUMSQ(H93,H95))/2</f>
        <v>7.3738310722932132E-2</v>
      </c>
      <c r="K94" s="137"/>
      <c r="L94" s="137"/>
      <c r="M94" s="113"/>
      <c r="N94" s="113"/>
      <c r="O94" s="113"/>
      <c r="P94" s="114"/>
      <c r="R94" s="53"/>
      <c r="S94" s="53"/>
      <c r="T94" s="61"/>
      <c r="U94" s="61"/>
      <c r="V94" s="111"/>
      <c r="W94" s="61"/>
    </row>
    <row r="95" spans="1:23" ht="14.5">
      <c r="A95" s="266">
        <f>Masses!C98</f>
        <v>45.5</v>
      </c>
      <c r="B95" s="266" t="str">
        <f>Masses!A98</f>
        <v xml:space="preserve"> 45-46</v>
      </c>
      <c r="C95" s="296">
        <v>0.35856988244752203</v>
      </c>
      <c r="D95" s="296">
        <v>7.5857082976299298E-2</v>
      </c>
      <c r="E95" s="297">
        <v>0.7</v>
      </c>
      <c r="F95" s="297">
        <v>7.2470619323016267E-2</v>
      </c>
      <c r="G95" s="277">
        <f t="shared" ref="G95" si="186">C95-E95</f>
        <v>-0.34143011755247793</v>
      </c>
      <c r="H95" s="113">
        <f t="shared" ref="H95" si="187">SQRT(SUMSQ(D95,F95))</f>
        <v>0.10491085598132681</v>
      </c>
      <c r="I95" s="64"/>
      <c r="J95" s="64"/>
      <c r="K95" s="134">
        <f>(G95*Masses!G98)</f>
        <v>-9.0760064758973164E-2</v>
      </c>
      <c r="L95" s="134">
        <f>K95*SQRT(SUMSQ(H95/G95,Masses!H98/Masses!G98))</f>
        <v>-2.7924355760608713E-2</v>
      </c>
      <c r="M95" s="113">
        <v>45.5</v>
      </c>
      <c r="N95" s="113">
        <f>Masses!K98</f>
        <v>13.055032843050004</v>
      </c>
      <c r="O95" s="113" t="e">
        <f t="shared" ref="O95" si="188">LN(G95)</f>
        <v>#NUM!</v>
      </c>
      <c r="P95" s="113">
        <f t="shared" ref="P95" si="189">(H95/G95)</f>
        <v>-0.30726889804969232</v>
      </c>
      <c r="R95" s="53"/>
      <c r="S95" s="53"/>
      <c r="T95" s="111"/>
      <c r="U95" s="61"/>
      <c r="V95" s="111"/>
      <c r="W95" s="61"/>
    </row>
    <row r="96" spans="1:23" ht="14.5">
      <c r="A96" s="266"/>
      <c r="B96" s="266"/>
      <c r="C96" s="296"/>
      <c r="D96" s="296"/>
      <c r="E96" s="297"/>
      <c r="F96" s="297"/>
      <c r="G96" s="113"/>
      <c r="H96" s="113"/>
      <c r="I96" s="64">
        <f t="shared" ref="I96" si="190">(G95+G97)/2</f>
        <v>-0.37662610065161745</v>
      </c>
      <c r="J96" s="64">
        <f t="shared" ref="J96" si="191">SQRT(SUMSQ(H95,H97))/2</f>
        <v>7.6538432135087001E-2</v>
      </c>
      <c r="K96" s="137"/>
      <c r="L96" s="137"/>
      <c r="M96" s="113"/>
      <c r="N96" s="113"/>
      <c r="O96" s="113"/>
      <c r="P96" s="114"/>
      <c r="R96" s="53"/>
      <c r="S96" s="53"/>
      <c r="U96" s="111"/>
      <c r="V96" s="111"/>
    </row>
    <row r="97" spans="1:36" ht="14.5">
      <c r="A97" s="266">
        <f>Masses!C100</f>
        <v>46.5</v>
      </c>
      <c r="B97" s="266" t="str">
        <f>Masses!A100</f>
        <v xml:space="preserve"> 46-47</v>
      </c>
      <c r="C97" s="296">
        <v>0.28817791624924299</v>
      </c>
      <c r="D97" s="296">
        <v>8.4700932739805404E-2</v>
      </c>
      <c r="E97" s="297">
        <v>0.7</v>
      </c>
      <c r="F97" s="297">
        <v>7.2470619323016267E-2</v>
      </c>
      <c r="G97" s="277">
        <f t="shared" ref="G97" si="192">C97-E97</f>
        <v>-0.41182208375075696</v>
      </c>
      <c r="H97" s="113">
        <f t="shared" ref="H97" si="193">SQRT(SUMSQ(D97,F97))</f>
        <v>0.11147304011309002</v>
      </c>
      <c r="I97" s="64"/>
      <c r="J97" s="64"/>
      <c r="K97" s="134">
        <f>(G97*Masses!G100)</f>
        <v>-0.1129580999595055</v>
      </c>
      <c r="L97" s="134">
        <f>K97*SQRT(SUMSQ(H97/G97,Masses!H100/Masses!G100))</f>
        <v>-3.0628568985441602E-2</v>
      </c>
      <c r="M97" s="113">
        <v>46.5</v>
      </c>
      <c r="N97" s="113">
        <f>Masses!K100</f>
        <v>13.325088766450003</v>
      </c>
      <c r="O97" s="113" t="e">
        <f t="shared" ref="O97" si="194">LN(G97)</f>
        <v>#NUM!</v>
      </c>
      <c r="P97" s="113">
        <f t="shared" ref="P97" si="195">(H97/G97)</f>
        <v>-0.27068252167981294</v>
      </c>
      <c r="R97" s="53"/>
      <c r="S97" s="53"/>
      <c r="U97" s="111"/>
      <c r="V97" s="111"/>
    </row>
    <row r="98" spans="1:36" ht="14.5">
      <c r="A98" s="266"/>
      <c r="B98" s="266"/>
      <c r="C98" s="296"/>
      <c r="D98" s="296"/>
      <c r="E98" s="297"/>
      <c r="F98" s="297"/>
      <c r="G98" s="113"/>
      <c r="H98" s="113"/>
      <c r="I98" s="64">
        <f t="shared" ref="I98" si="196">(G97+G99)/2</f>
        <v>-0.47825880463444193</v>
      </c>
      <c r="J98" s="64">
        <f t="shared" ref="J98" si="197">SQRT(SUMSQ(H97,H99))/2</f>
        <v>0.10223536223005117</v>
      </c>
      <c r="K98" s="137"/>
      <c r="L98" s="137"/>
      <c r="M98" s="113"/>
      <c r="N98" s="113"/>
      <c r="O98" s="113"/>
      <c r="P98" s="114"/>
      <c r="R98" s="53"/>
      <c r="S98" s="53"/>
      <c r="U98" s="111"/>
      <c r="V98" s="111"/>
    </row>
    <row r="99" spans="1:36" ht="14.5">
      <c r="A99" s="266">
        <f>Masses!C102</f>
        <v>47.5</v>
      </c>
      <c r="B99" s="266" t="str">
        <f>Masses!A102</f>
        <v xml:space="preserve"> 47-48</v>
      </c>
      <c r="C99" s="296">
        <v>0.15530447448187301</v>
      </c>
      <c r="D99" s="296">
        <v>0.15533849434098099</v>
      </c>
      <c r="E99" s="297">
        <v>0.7</v>
      </c>
      <c r="F99" s="297">
        <v>7.2470619323016267E-2</v>
      </c>
      <c r="G99" s="277">
        <f t="shared" ref="G99" si="198">C99-E99</f>
        <v>-0.54469552551812694</v>
      </c>
      <c r="H99" s="113">
        <f t="shared" ref="H99" si="199">SQRT(SUMSQ(D99,F99))</f>
        <v>0.17141189716348315</v>
      </c>
      <c r="I99" s="64"/>
      <c r="J99" s="64"/>
      <c r="K99" s="134">
        <f>(G99*Masses!G102)</f>
        <v>-0.15360285374959307</v>
      </c>
      <c r="L99" s="134">
        <f>K99*SQRT(SUMSQ(H99/G99,Masses!H102/Masses!G102))</f>
        <v>-4.8390144424809697E-2</v>
      </c>
      <c r="M99" s="113">
        <v>47.5</v>
      </c>
      <c r="N99" s="113">
        <f>Masses!K102</f>
        <v>13.603231883950002</v>
      </c>
      <c r="O99" s="113" t="e">
        <f t="shared" ref="O99" si="200">LN(G99)</f>
        <v>#NUM!</v>
      </c>
      <c r="P99" s="113">
        <f t="shared" ref="P99" si="201">(H99/G99)</f>
        <v>-0.314693051683199</v>
      </c>
      <c r="R99" s="53"/>
      <c r="S99" s="53"/>
      <c r="U99" s="111"/>
      <c r="V99" s="111"/>
    </row>
    <row r="100" spans="1:36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R100" s="53"/>
      <c r="S100" s="53"/>
      <c r="U100" s="111"/>
      <c r="V100" s="111"/>
    </row>
    <row r="101" spans="1:36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R101" s="53"/>
      <c r="S101" s="53"/>
      <c r="U101" s="111"/>
      <c r="V101" s="111"/>
    </row>
    <row r="102" spans="1:36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R102" s="53"/>
      <c r="S102" s="53"/>
      <c r="U102" s="111"/>
      <c r="V102" s="111"/>
    </row>
    <row r="103" spans="1:36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R103" s="53"/>
      <c r="S103" s="53"/>
      <c r="U103" s="111"/>
      <c r="V103" s="111"/>
    </row>
    <row r="104" spans="1:36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R104" s="53"/>
      <c r="S104" s="53"/>
      <c r="U104" s="111"/>
      <c r="V104" s="111"/>
    </row>
    <row r="105" spans="1:36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R105" s="53"/>
      <c r="S105" s="53"/>
      <c r="U105" s="111"/>
      <c r="V105" s="111"/>
    </row>
    <row r="106" spans="1:3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R106" s="53"/>
      <c r="S106" s="53"/>
      <c r="U106" s="111"/>
      <c r="V106" s="111"/>
      <c r="AJ106" s="99"/>
    </row>
    <row r="107" spans="1:36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R107" s="53"/>
      <c r="S107" s="53"/>
      <c r="U107" s="111"/>
      <c r="V107" s="111"/>
    </row>
    <row r="108" spans="1:36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R108" s="53"/>
      <c r="S108" s="53"/>
      <c r="U108" s="111"/>
      <c r="V108" s="111"/>
      <c r="AJ108" s="99"/>
    </row>
    <row r="109" spans="1:36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R109" s="53"/>
      <c r="S109" s="53"/>
      <c r="U109" s="111"/>
      <c r="V109" s="111"/>
      <c r="W109" s="12"/>
      <c r="X109" s="12"/>
    </row>
    <row r="110" spans="1:36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R110" s="53"/>
      <c r="S110" s="53"/>
      <c r="U110" s="111"/>
      <c r="V110" s="111"/>
      <c r="AJ110" s="99"/>
    </row>
    <row r="111" spans="1:36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R111" s="53"/>
      <c r="S111" s="53"/>
      <c r="U111" s="111"/>
      <c r="V111" s="111"/>
      <c r="W111" s="12"/>
      <c r="X111" s="12"/>
    </row>
    <row r="112" spans="1:36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R112" s="53"/>
      <c r="S112" s="53"/>
      <c r="U112" s="111"/>
      <c r="V112" s="111"/>
      <c r="AJ112" s="99"/>
    </row>
    <row r="113" spans="1:36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R113" s="53"/>
      <c r="S113" s="53"/>
      <c r="U113" s="111"/>
      <c r="V113" s="111"/>
      <c r="W113" s="12"/>
      <c r="X113" s="12"/>
    </row>
    <row r="114" spans="1:36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R114" s="53"/>
      <c r="S114" s="53"/>
      <c r="U114" s="111"/>
      <c r="V114" s="111"/>
      <c r="AJ114" s="99"/>
    </row>
    <row r="115" spans="1:36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R115" s="53"/>
      <c r="S115" s="53"/>
      <c r="U115" s="111"/>
      <c r="V115" s="111"/>
      <c r="W115" s="12"/>
      <c r="X115" s="12"/>
    </row>
    <row r="116" spans="1:3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R116" s="53"/>
      <c r="S116" s="53"/>
      <c r="U116" s="111"/>
      <c r="V116" s="111"/>
      <c r="AJ116" s="99"/>
    </row>
    <row r="117" spans="1:36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R117" s="53"/>
      <c r="S117" s="53"/>
      <c r="U117" s="111"/>
      <c r="V117" s="111"/>
      <c r="W117" s="12"/>
      <c r="X117" s="12"/>
    </row>
    <row r="118" spans="1:36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R118" s="53"/>
      <c r="S118" s="53"/>
      <c r="U118" s="111"/>
      <c r="V118" s="111"/>
      <c r="AJ118" s="99"/>
    </row>
    <row r="119" spans="1:36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R119" s="53"/>
      <c r="S119" s="53"/>
      <c r="U119" s="111"/>
      <c r="V119" s="111"/>
      <c r="W119" s="12"/>
      <c r="X119" s="12"/>
    </row>
    <row r="120" spans="1:36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R120" s="53"/>
      <c r="S120" s="53"/>
      <c r="AJ120" s="99"/>
    </row>
    <row r="121" spans="1:36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R121" s="53"/>
      <c r="S121" s="53"/>
      <c r="W121" s="12"/>
      <c r="X121" s="12"/>
    </row>
    <row r="122" spans="1:36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R122" s="53"/>
      <c r="S122" s="53"/>
      <c r="AJ122" s="99"/>
    </row>
    <row r="123" spans="1:36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R123" s="53"/>
      <c r="S123" s="53"/>
      <c r="W123" s="12"/>
      <c r="X123" s="12"/>
    </row>
    <row r="124" spans="1:36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AJ124" s="99"/>
    </row>
    <row r="125" spans="1:36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W125" s="12"/>
      <c r="X125" s="12"/>
    </row>
    <row r="126" spans="1:3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AJ126" s="99"/>
    </row>
    <row r="127" spans="1:36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W127" s="12"/>
      <c r="X127" s="12"/>
    </row>
    <row r="128" spans="1:36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AJ128" s="99"/>
    </row>
    <row r="129" spans="1:36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W129" s="12"/>
      <c r="X129" s="12"/>
    </row>
    <row r="130" spans="1:36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AJ130" s="99"/>
    </row>
    <row r="131" spans="1:36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W131" s="12"/>
      <c r="X131" s="12"/>
    </row>
    <row r="132" spans="1:36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</row>
    <row r="133" spans="1:36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W133" s="12"/>
      <c r="X133" s="12"/>
    </row>
    <row r="134" spans="1:36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</row>
    <row r="135" spans="1:36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W135" s="12"/>
      <c r="X135" s="12"/>
    </row>
    <row r="136" spans="1: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</row>
    <row r="137" spans="1:36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W137" s="12"/>
      <c r="X137" s="12"/>
    </row>
    <row r="138" spans="1:36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</row>
    <row r="139" spans="1:36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W139" s="12"/>
      <c r="X139" s="12"/>
    </row>
    <row r="140" spans="1:36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</row>
    <row r="141" spans="1:36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W141" s="12"/>
      <c r="X141" s="12"/>
    </row>
    <row r="142" spans="1:36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</row>
    <row r="143" spans="1:36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W143" s="12"/>
      <c r="X143" s="12"/>
    </row>
    <row r="144" spans="1:36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</row>
    <row r="145" spans="1:24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W145" s="12"/>
      <c r="X145" s="12"/>
    </row>
    <row r="146" spans="1:24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</row>
    <row r="147" spans="1:24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W147" s="12"/>
      <c r="X147" s="12"/>
    </row>
    <row r="148" spans="1:24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</row>
    <row r="149" spans="1:24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W149" s="12"/>
      <c r="X149" s="12"/>
    </row>
    <row r="150" spans="1:24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</row>
    <row r="151" spans="1:24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W151" s="12"/>
      <c r="X151" s="12"/>
    </row>
    <row r="152" spans="1:24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</row>
    <row r="153" spans="1:24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W153" s="12"/>
      <c r="X153" s="12"/>
    </row>
    <row r="154" spans="1:2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</row>
    <row r="155" spans="1:24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W155" s="12"/>
      <c r="X155" s="12"/>
    </row>
    <row r="156" spans="1:24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</row>
    <row r="157" spans="1:24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W157" s="12"/>
      <c r="X157" s="12"/>
    </row>
    <row r="158" spans="1:24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</row>
    <row r="159" spans="1:24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W159" s="12"/>
      <c r="X159" s="12"/>
    </row>
    <row r="160" spans="1:24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</row>
    <row r="161" spans="1:24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W161" s="12"/>
      <c r="X161" s="12"/>
    </row>
    <row r="162" spans="1:24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</row>
    <row r="163" spans="1:24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W163" s="12"/>
      <c r="X163" s="12"/>
    </row>
    <row r="164" spans="1:2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</row>
    <row r="165" spans="1:24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W165" s="12"/>
      <c r="X165" s="12"/>
    </row>
    <row r="166" spans="1:24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</row>
    <row r="167" spans="1:24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W167" s="12"/>
      <c r="X167" s="12"/>
    </row>
    <row r="168" spans="1:24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</row>
    <row r="169" spans="1:24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W169" s="12"/>
      <c r="X169" s="12"/>
    </row>
    <row r="170" spans="1:24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</row>
    <row r="171" spans="1:24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W171" s="12"/>
      <c r="X171" s="12"/>
    </row>
    <row r="172" spans="1:24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</row>
    <row r="173" spans="1:24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W173" s="12"/>
      <c r="X173" s="12"/>
    </row>
    <row r="174" spans="1:2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</row>
    <row r="175" spans="1:24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W175" s="12"/>
      <c r="X175" s="12"/>
    </row>
    <row r="176" spans="1:24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</row>
    <row r="177" spans="1:24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W177" s="12"/>
      <c r="X177" s="12"/>
    </row>
    <row r="178" spans="1:24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</row>
    <row r="179" spans="1:24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W179" s="12"/>
      <c r="X179" s="12"/>
    </row>
    <row r="180" spans="1:24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</row>
    <row r="181" spans="1:24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W181" s="12"/>
      <c r="X181" s="12"/>
    </row>
    <row r="182" spans="1:24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</row>
    <row r="183" spans="1:24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W183" s="12"/>
      <c r="X183" s="12"/>
    </row>
    <row r="184" spans="1:2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</row>
    <row r="185" spans="1:24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W185" s="12"/>
      <c r="X185" s="12"/>
    </row>
    <row r="186" spans="1:24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</row>
    <row r="187" spans="1:24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</row>
    <row r="188" spans="1:24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</row>
    <row r="189" spans="1:24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</row>
    <row r="190" spans="1:24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</row>
    <row r="191" spans="1:24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</row>
    <row r="192" spans="1:24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</row>
    <row r="193" spans="1:15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</row>
    <row r="194" spans="1:15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</row>
    <row r="195" spans="1:1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</row>
    <row r="196" spans="1:15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</row>
    <row r="197" spans="1:15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</row>
    <row r="198" spans="1:15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</row>
    <row r="199" spans="1:15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</row>
    <row r="200" spans="1:15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</row>
    <row r="201" spans="1:15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</row>
    <row r="202" spans="1:15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</row>
    <row r="203" spans="1:15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</row>
    <row r="204" spans="1:15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</row>
    <row r="205" spans="1:1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</row>
    <row r="206" spans="1:15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</row>
    <row r="207" spans="1:15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</row>
    <row r="208" spans="1:15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</row>
    <row r="209" spans="1:15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</row>
    <row r="210" spans="1:15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</row>
    <row r="211" spans="1:15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</row>
    <row r="212" spans="1:15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</row>
    <row r="213" spans="1:15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</row>
    <row r="214" spans="1:15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</row>
    <row r="215" spans="1: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</row>
    <row r="216" spans="1:15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</row>
    <row r="217" spans="1:15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</row>
    <row r="218" spans="1:15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</row>
    <row r="219" spans="1:15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</row>
    <row r="220" spans="1:15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</row>
    <row r="221" spans="1:15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</row>
    <row r="222" spans="1:15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</row>
    <row r="223" spans="1:15">
      <c r="G223" s="173"/>
      <c r="H223" s="11"/>
      <c r="K223" s="12"/>
      <c r="L223" s="12"/>
    </row>
    <row r="224" spans="1:15">
      <c r="G224" s="173"/>
      <c r="H224" s="11"/>
      <c r="K224" s="12"/>
      <c r="L224" s="12"/>
    </row>
    <row r="225" spans="7:12">
      <c r="G225" s="173"/>
      <c r="H225" s="11"/>
      <c r="K225" s="12"/>
      <c r="L225" s="12"/>
    </row>
    <row r="226" spans="7:12">
      <c r="G226" s="173"/>
      <c r="H226" s="11"/>
      <c r="K226" s="12"/>
      <c r="L226" s="12"/>
    </row>
    <row r="227" spans="7:12">
      <c r="G227" s="173"/>
      <c r="H227" s="11"/>
      <c r="K227" s="12"/>
      <c r="L227" s="12"/>
    </row>
    <row r="228" spans="7:12">
      <c r="G228" s="173"/>
      <c r="H228" s="11"/>
      <c r="K228" s="12"/>
      <c r="L228" s="12"/>
    </row>
    <row r="229" spans="7:12">
      <c r="G229" s="173"/>
      <c r="H229" s="11"/>
      <c r="K229" s="12"/>
      <c r="L229" s="12"/>
    </row>
    <row r="230" spans="7:12">
      <c r="G230" s="173"/>
      <c r="H230" s="11"/>
      <c r="K230" s="12"/>
      <c r="L230" s="12"/>
    </row>
    <row r="231" spans="7:12">
      <c r="G231" s="173"/>
      <c r="H231" s="11"/>
      <c r="K231" s="12"/>
      <c r="L231" s="12"/>
    </row>
    <row r="232" spans="7:12">
      <c r="G232" s="173"/>
      <c r="H232" s="11"/>
      <c r="K232" s="12"/>
      <c r="L232" s="12"/>
    </row>
    <row r="233" spans="7:12">
      <c r="G233" s="173"/>
      <c r="H233" s="11"/>
      <c r="K233" s="12"/>
      <c r="L233" s="12"/>
    </row>
    <row r="234" spans="7:12">
      <c r="G234" s="173"/>
      <c r="H234" s="11"/>
      <c r="K234" s="12"/>
      <c r="L234" s="12"/>
    </row>
    <row r="235" spans="7:12">
      <c r="G235" s="173"/>
      <c r="H235" s="11"/>
      <c r="K235" s="12"/>
      <c r="L235" s="12"/>
    </row>
    <row r="236" spans="7:12">
      <c r="G236" s="173"/>
      <c r="H236" s="11"/>
      <c r="K236" s="12"/>
      <c r="L236" s="12"/>
    </row>
    <row r="237" spans="7:12">
      <c r="G237" s="173"/>
      <c r="H237" s="11"/>
      <c r="K237" s="12"/>
      <c r="L237" s="12"/>
    </row>
    <row r="238" spans="7:12">
      <c r="G238" s="173"/>
      <c r="H238" s="11"/>
      <c r="K238" s="12"/>
      <c r="L238" s="12"/>
    </row>
    <row r="239" spans="7:12">
      <c r="G239" s="173"/>
      <c r="H239" s="11"/>
      <c r="K239" s="12"/>
      <c r="L239" s="12"/>
    </row>
    <row r="240" spans="7:12">
      <c r="G240" s="173"/>
      <c r="H240" s="11"/>
      <c r="K240" s="12"/>
      <c r="L240" s="12"/>
    </row>
    <row r="241" spans="7:12">
      <c r="G241" s="173"/>
      <c r="H241" s="11"/>
      <c r="K241" s="12"/>
      <c r="L241" s="12"/>
    </row>
    <row r="242" spans="7:12">
      <c r="G242" s="173"/>
      <c r="H242" s="11"/>
      <c r="K242" s="12"/>
      <c r="L242" s="12"/>
    </row>
    <row r="243" spans="7:12">
      <c r="G243" s="173"/>
      <c r="H243" s="11"/>
      <c r="K243" s="12"/>
      <c r="L243" s="12"/>
    </row>
    <row r="244" spans="7:12">
      <c r="G244" s="173"/>
      <c r="H244" s="11"/>
      <c r="K244" s="12"/>
      <c r="L244" s="12"/>
    </row>
    <row r="245" spans="7:12">
      <c r="G245" s="173"/>
      <c r="H245" s="11"/>
      <c r="K245" s="12"/>
      <c r="L245" s="12"/>
    </row>
    <row r="246" spans="7:12">
      <c r="G246" s="173"/>
      <c r="H246" s="11"/>
      <c r="K246" s="12"/>
      <c r="L246" s="12"/>
    </row>
    <row r="247" spans="7:12">
      <c r="G247" s="173"/>
      <c r="H247" s="11"/>
      <c r="K247" s="12"/>
      <c r="L247" s="12"/>
    </row>
    <row r="248" spans="7:12">
      <c r="G248" s="173"/>
      <c r="H248" s="11"/>
      <c r="K248" s="12"/>
      <c r="L248" s="12"/>
    </row>
    <row r="249" spans="7:12">
      <c r="G249" s="173"/>
      <c r="H249" s="11"/>
      <c r="K249" s="12"/>
      <c r="L249" s="12"/>
    </row>
    <row r="250" spans="7:12">
      <c r="G250" s="173"/>
      <c r="H250" s="11"/>
      <c r="K250" s="12"/>
      <c r="L250" s="12"/>
    </row>
    <row r="251" spans="7:12">
      <c r="G251" s="173"/>
      <c r="H251" s="11"/>
      <c r="K251" s="12"/>
      <c r="L251" s="12"/>
    </row>
    <row r="252" spans="7:12">
      <c r="G252" s="173"/>
      <c r="H252" s="11"/>
      <c r="K252" s="12"/>
      <c r="L252" s="12"/>
    </row>
    <row r="253" spans="7:12">
      <c r="G253" s="173"/>
      <c r="H253" s="11"/>
      <c r="K253" s="12"/>
      <c r="L253" s="12"/>
    </row>
    <row r="254" spans="7:12">
      <c r="G254" s="173"/>
      <c r="H254" s="11"/>
      <c r="K254" s="12"/>
      <c r="L254" s="12"/>
    </row>
    <row r="255" spans="7:12">
      <c r="G255" s="173"/>
      <c r="H255" s="11"/>
      <c r="K255" s="12"/>
      <c r="L255" s="12"/>
    </row>
    <row r="256" spans="7:12">
      <c r="G256" s="173"/>
      <c r="H256" s="11"/>
      <c r="K256" s="12"/>
      <c r="L256" s="12"/>
    </row>
    <row r="257" spans="7:12">
      <c r="G257" s="173"/>
      <c r="H257" s="11"/>
      <c r="K257" s="12"/>
      <c r="L257" s="12"/>
    </row>
    <row r="258" spans="7:12">
      <c r="G258" s="173"/>
      <c r="H258" s="11"/>
      <c r="K258" s="12"/>
      <c r="L258" s="12"/>
    </row>
    <row r="259" spans="7:12">
      <c r="G259" s="173"/>
      <c r="H259" s="11"/>
      <c r="K259" s="12"/>
      <c r="L259" s="12"/>
    </row>
    <row r="260" spans="7:12">
      <c r="G260" s="173"/>
      <c r="H260" s="11"/>
      <c r="K260" s="12"/>
      <c r="L260" s="12"/>
    </row>
    <row r="261" spans="7:12">
      <c r="G261" s="173"/>
      <c r="H261" s="11"/>
      <c r="K261" s="12"/>
      <c r="L261" s="12"/>
    </row>
    <row r="262" spans="7:12">
      <c r="G262" s="173"/>
      <c r="H262" s="11"/>
      <c r="K262" s="12"/>
      <c r="L262" s="12"/>
    </row>
    <row r="263" spans="7:12">
      <c r="G263" s="173"/>
      <c r="H263" s="11"/>
      <c r="K263" s="12"/>
      <c r="L263" s="12"/>
    </row>
    <row r="264" spans="7:12">
      <c r="G264" s="173"/>
      <c r="H264" s="11"/>
      <c r="K264" s="12"/>
      <c r="L264" s="12"/>
    </row>
    <row r="265" spans="7:12">
      <c r="G265" s="173"/>
      <c r="H265" s="11"/>
      <c r="K265" s="12"/>
      <c r="L265" s="12"/>
    </row>
    <row r="266" spans="7:12">
      <c r="G266" s="173"/>
      <c r="H266" s="11"/>
      <c r="K266" s="12"/>
      <c r="L266" s="12"/>
    </row>
    <row r="267" spans="7:12">
      <c r="G267" s="173"/>
      <c r="H267" s="11"/>
      <c r="K267" s="12"/>
      <c r="L267" s="12"/>
    </row>
    <row r="268" spans="7:12">
      <c r="G268" s="173"/>
      <c r="H268" s="11"/>
      <c r="K268" s="12"/>
      <c r="L268" s="12"/>
    </row>
    <row r="269" spans="7:12">
      <c r="G269" s="173"/>
      <c r="H269" s="11"/>
      <c r="K269" s="12"/>
      <c r="L269" s="12"/>
    </row>
    <row r="270" spans="7:12">
      <c r="G270" s="173"/>
      <c r="H270" s="11"/>
      <c r="K270" s="12"/>
      <c r="L270" s="12"/>
    </row>
    <row r="271" spans="7:12">
      <c r="G271" s="173"/>
      <c r="H271" s="11"/>
      <c r="K271" s="12"/>
      <c r="L271" s="12"/>
    </row>
    <row r="272" spans="7:12">
      <c r="G272" s="173"/>
      <c r="H272" s="11"/>
      <c r="K272" s="12"/>
      <c r="L272" s="12"/>
    </row>
    <row r="273" spans="7:12">
      <c r="G273" s="173"/>
      <c r="H273" s="11"/>
      <c r="K273" s="12"/>
      <c r="L273" s="12"/>
    </row>
    <row r="274" spans="7:12">
      <c r="G274" s="173"/>
      <c r="H274" s="11"/>
      <c r="K274" s="12"/>
      <c r="L274" s="12"/>
    </row>
    <row r="275" spans="7:12">
      <c r="G275" s="173"/>
      <c r="H275" s="11"/>
      <c r="K275" s="12"/>
      <c r="L275" s="12"/>
    </row>
    <row r="276" spans="7:12">
      <c r="G276" s="173"/>
      <c r="H276" s="11"/>
      <c r="K276" s="12"/>
      <c r="L276" s="12"/>
    </row>
    <row r="277" spans="7:12">
      <c r="G277" s="173"/>
      <c r="H277" s="11"/>
      <c r="K277" s="12"/>
      <c r="L277" s="12"/>
    </row>
    <row r="278" spans="7:12">
      <c r="G278" s="173"/>
      <c r="H278" s="11"/>
      <c r="K278" s="12"/>
      <c r="L278" s="12"/>
    </row>
    <row r="279" spans="7:12">
      <c r="G279" s="173"/>
      <c r="H279" s="11"/>
      <c r="K279" s="12"/>
      <c r="L279" s="12"/>
    </row>
    <row r="280" spans="7:12">
      <c r="G280" s="173"/>
      <c r="H280" s="11"/>
      <c r="K280" s="12"/>
      <c r="L280" s="12"/>
    </row>
    <row r="281" spans="7:12">
      <c r="G281" s="173"/>
      <c r="H281" s="11"/>
      <c r="K281" s="12"/>
      <c r="L281" s="12"/>
    </row>
    <row r="282" spans="7:12">
      <c r="G282" s="173"/>
      <c r="H282" s="11"/>
      <c r="K282" s="12"/>
      <c r="L282" s="12"/>
    </row>
    <row r="283" spans="7:12">
      <c r="G283" s="173"/>
      <c r="H283" s="11"/>
      <c r="K283" s="12"/>
      <c r="L283" s="12"/>
    </row>
    <row r="284" spans="7:12">
      <c r="G284" s="173"/>
      <c r="H284" s="11"/>
      <c r="K284" s="12"/>
      <c r="L284" s="12"/>
    </row>
    <row r="285" spans="7:12">
      <c r="G285" s="173"/>
      <c r="H285" s="11"/>
      <c r="K285" s="12"/>
      <c r="L285" s="12"/>
    </row>
    <row r="286" spans="7:12">
      <c r="G286" s="173"/>
      <c r="H286" s="11"/>
      <c r="K286" s="12"/>
      <c r="L286" s="12"/>
    </row>
    <row r="287" spans="7:12">
      <c r="G287" s="173"/>
      <c r="H287" s="11"/>
      <c r="K287" s="12"/>
      <c r="L287" s="12"/>
    </row>
    <row r="288" spans="7:12">
      <c r="G288" s="173"/>
      <c r="H288" s="11"/>
      <c r="K288" s="12"/>
      <c r="L288" s="12"/>
    </row>
    <row r="289" spans="7:12">
      <c r="G289" s="173"/>
      <c r="H289" s="11"/>
      <c r="K289" s="12"/>
      <c r="L289" s="12"/>
    </row>
    <row r="290" spans="7:12">
      <c r="G290" s="173"/>
      <c r="H290" s="11"/>
      <c r="K290" s="12"/>
      <c r="L290" s="12"/>
    </row>
    <row r="291" spans="7:12">
      <c r="G291" s="173"/>
      <c r="H291" s="11"/>
      <c r="K291" s="12"/>
      <c r="L291" s="12"/>
    </row>
    <row r="292" spans="7:12">
      <c r="G292" s="173"/>
      <c r="H292" s="11"/>
      <c r="K292" s="12"/>
      <c r="L292" s="12"/>
    </row>
    <row r="293" spans="7:12">
      <c r="G293" s="173"/>
      <c r="H293" s="11"/>
      <c r="K293" s="12"/>
      <c r="L293" s="12"/>
    </row>
    <row r="294" spans="7:12">
      <c r="G294" s="173"/>
      <c r="H294" s="11"/>
      <c r="K294" s="12"/>
      <c r="L294" s="12"/>
    </row>
    <row r="295" spans="7:12">
      <c r="G295" s="173"/>
      <c r="H295" s="11"/>
      <c r="K295" s="12"/>
      <c r="L295" s="12"/>
    </row>
    <row r="296" spans="7:12">
      <c r="G296" s="173"/>
      <c r="H296" s="11"/>
      <c r="K296" s="12"/>
      <c r="L296" s="12"/>
    </row>
    <row r="297" spans="7:12">
      <c r="G297" s="173"/>
      <c r="H297" s="11"/>
      <c r="K297" s="12"/>
      <c r="L297" s="12"/>
    </row>
    <row r="298" spans="7:12">
      <c r="G298" s="173"/>
      <c r="H298" s="11"/>
      <c r="K298" s="12"/>
      <c r="L298" s="12"/>
    </row>
    <row r="299" spans="7:12">
      <c r="G299" s="173"/>
      <c r="H299" s="11"/>
      <c r="K299" s="12"/>
      <c r="L299" s="12"/>
    </row>
    <row r="300" spans="7:12">
      <c r="G300" s="173"/>
      <c r="H300" s="11"/>
      <c r="K300" s="12"/>
      <c r="L300" s="12"/>
    </row>
    <row r="301" spans="7:12">
      <c r="G301" s="173"/>
      <c r="H301" s="11"/>
      <c r="K301" s="12"/>
      <c r="L301" s="12"/>
    </row>
    <row r="302" spans="7:12">
      <c r="G302" s="173"/>
      <c r="H302" s="11"/>
      <c r="K302" s="12"/>
      <c r="L302" s="12"/>
    </row>
    <row r="303" spans="7:12">
      <c r="G303" s="173"/>
      <c r="H303" s="11"/>
      <c r="K303" s="12"/>
      <c r="L303" s="12"/>
    </row>
    <row r="304" spans="7:12">
      <c r="G304" s="173"/>
      <c r="H304" s="11"/>
      <c r="K304" s="12"/>
      <c r="L304" s="12"/>
    </row>
    <row r="305" spans="7:12">
      <c r="G305" s="173"/>
      <c r="H305" s="11"/>
      <c r="K305" s="12"/>
      <c r="L305" s="12"/>
    </row>
    <row r="306" spans="7:12">
      <c r="G306" s="173"/>
      <c r="H306" s="11"/>
      <c r="K306" s="12"/>
      <c r="L306" s="12"/>
    </row>
    <row r="307" spans="7:12">
      <c r="G307" s="173"/>
      <c r="H307" s="11"/>
      <c r="K307" s="12"/>
      <c r="L307" s="12"/>
    </row>
    <row r="308" spans="7:12">
      <c r="G308" s="173"/>
      <c r="H308" s="11"/>
      <c r="K308" s="12"/>
      <c r="L308" s="12"/>
    </row>
    <row r="309" spans="7:12">
      <c r="G309" s="173"/>
      <c r="H309" s="11"/>
      <c r="K309" s="12"/>
      <c r="L309" s="12"/>
    </row>
    <row r="310" spans="7:12">
      <c r="G310" s="173"/>
      <c r="H310" s="11"/>
      <c r="K310" s="12"/>
      <c r="L310" s="12"/>
    </row>
    <row r="311" spans="7:12">
      <c r="G311" s="173"/>
      <c r="H311" s="11"/>
      <c r="K311" s="12"/>
      <c r="L311" s="12"/>
    </row>
    <row r="312" spans="7:12">
      <c r="G312" s="173"/>
      <c r="H312" s="11"/>
      <c r="K312" s="12"/>
      <c r="L312" s="12"/>
    </row>
    <row r="313" spans="7:12">
      <c r="G313" s="173"/>
      <c r="H313" s="11"/>
      <c r="K313" s="12"/>
      <c r="L313" s="12"/>
    </row>
    <row r="314" spans="7:12">
      <c r="G314" s="173"/>
      <c r="H314" s="11"/>
      <c r="K314" s="12"/>
      <c r="L314" s="12"/>
    </row>
    <row r="315" spans="7:12">
      <c r="G315" s="173"/>
      <c r="H315" s="11"/>
      <c r="K315" s="12"/>
      <c r="L315" s="12"/>
    </row>
    <row r="316" spans="7:12">
      <c r="G316" s="173"/>
      <c r="H316" s="11"/>
      <c r="K316" s="12"/>
      <c r="L316" s="12"/>
    </row>
    <row r="317" spans="7:12">
      <c r="G317" s="173"/>
      <c r="H317" s="11"/>
      <c r="K317" s="12"/>
      <c r="L317" s="12"/>
    </row>
    <row r="318" spans="7:12">
      <c r="G318" s="173"/>
      <c r="H318" s="11"/>
      <c r="K318" s="12"/>
      <c r="L318" s="12"/>
    </row>
    <row r="319" spans="7:12">
      <c r="G319" s="173"/>
      <c r="H319" s="11"/>
      <c r="K319" s="12"/>
      <c r="L319" s="12"/>
    </row>
    <row r="320" spans="7:12">
      <c r="G320" s="173"/>
      <c r="H320" s="11"/>
      <c r="K320" s="12"/>
      <c r="L320" s="12"/>
    </row>
    <row r="321" spans="7:12">
      <c r="G321" s="173"/>
      <c r="H321" s="11"/>
      <c r="K321" s="12"/>
      <c r="L321" s="12"/>
    </row>
    <row r="322" spans="7:12">
      <c r="G322" s="173"/>
      <c r="H322" s="11"/>
      <c r="K322" s="12"/>
      <c r="L322" s="12"/>
    </row>
    <row r="323" spans="7:12">
      <c r="G323" s="173"/>
      <c r="H323" s="11"/>
      <c r="K323" s="12"/>
      <c r="L323" s="12"/>
    </row>
    <row r="324" spans="7:12">
      <c r="G324" s="173"/>
      <c r="H324" s="11"/>
      <c r="K324" s="12"/>
      <c r="L324" s="12"/>
    </row>
    <row r="325" spans="7:12">
      <c r="G325" s="173"/>
      <c r="H325" s="11"/>
      <c r="K325" s="12"/>
      <c r="L325" s="12"/>
    </row>
    <row r="326" spans="7:12">
      <c r="G326" s="173"/>
      <c r="H326" s="11"/>
      <c r="K326" s="12"/>
      <c r="L326" s="12"/>
    </row>
    <row r="327" spans="7:12">
      <c r="G327" s="173"/>
      <c r="H327" s="11"/>
      <c r="K327" s="12"/>
      <c r="L327" s="12"/>
    </row>
    <row r="328" spans="7:12">
      <c r="G328" s="173"/>
      <c r="H328" s="11"/>
      <c r="K328" s="12"/>
      <c r="L328" s="12"/>
    </row>
    <row r="329" spans="7:12">
      <c r="G329" s="173"/>
      <c r="H329" s="11"/>
      <c r="K329" s="12"/>
      <c r="L329" s="12"/>
    </row>
    <row r="330" spans="7:12">
      <c r="G330" s="173"/>
      <c r="H330" s="11"/>
      <c r="K330" s="12"/>
      <c r="L330" s="12"/>
    </row>
    <row r="331" spans="7:12">
      <c r="G331" s="173"/>
      <c r="H331" s="11"/>
      <c r="K331" s="12"/>
      <c r="L331" s="12"/>
    </row>
    <row r="332" spans="7:12">
      <c r="G332" s="173"/>
      <c r="H332" s="11"/>
      <c r="K332" s="12"/>
      <c r="L332" s="12"/>
    </row>
    <row r="333" spans="7:12">
      <c r="G333" s="173"/>
      <c r="H333" s="11"/>
      <c r="K333" s="12"/>
      <c r="L333" s="12"/>
    </row>
    <row r="334" spans="7:12">
      <c r="G334" s="173"/>
      <c r="H334" s="11"/>
      <c r="K334" s="12"/>
      <c r="L334" s="12"/>
    </row>
    <row r="335" spans="7:12">
      <c r="G335" s="173"/>
      <c r="H335" s="11"/>
      <c r="K335" s="12"/>
      <c r="L335" s="12"/>
    </row>
    <row r="336" spans="7:12">
      <c r="G336" s="173"/>
      <c r="H336" s="11"/>
      <c r="K336" s="12"/>
      <c r="L336" s="12"/>
    </row>
    <row r="337" spans="7:12">
      <c r="G337" s="173"/>
      <c r="H337" s="11"/>
      <c r="K337" s="12"/>
      <c r="L337" s="12"/>
    </row>
    <row r="338" spans="7:12">
      <c r="G338" s="173"/>
      <c r="H338" s="11"/>
      <c r="K338" s="12"/>
      <c r="L338" s="12"/>
    </row>
    <row r="339" spans="7:12">
      <c r="G339" s="173"/>
      <c r="H339" s="11"/>
      <c r="K339" s="12"/>
      <c r="L339" s="12"/>
    </row>
    <row r="340" spans="7:12">
      <c r="G340" s="173"/>
      <c r="H340" s="11"/>
      <c r="K340" s="12"/>
      <c r="L340" s="12"/>
    </row>
    <row r="341" spans="7:12">
      <c r="G341" s="173"/>
      <c r="H341" s="11"/>
      <c r="K341" s="12"/>
      <c r="L341" s="12"/>
    </row>
    <row r="342" spans="7:12">
      <c r="G342" s="173"/>
      <c r="H342" s="11"/>
      <c r="K342" s="12"/>
      <c r="L342" s="12"/>
    </row>
    <row r="343" spans="7:12">
      <c r="G343" s="173"/>
      <c r="H343" s="11"/>
      <c r="K343" s="12"/>
      <c r="L343" s="12"/>
    </row>
    <row r="344" spans="7:12">
      <c r="G344" s="173"/>
      <c r="H344" s="11"/>
      <c r="K344" s="12"/>
      <c r="L344" s="12"/>
    </row>
    <row r="345" spans="7:12">
      <c r="G345" s="173"/>
      <c r="H345" s="11"/>
      <c r="K345" s="12"/>
      <c r="L345" s="12"/>
    </row>
    <row r="346" spans="7:12">
      <c r="G346" s="173"/>
      <c r="H346" s="11"/>
      <c r="K346" s="12"/>
      <c r="L346" s="12"/>
    </row>
    <row r="347" spans="7:12">
      <c r="G347" s="173"/>
      <c r="H347" s="11"/>
      <c r="K347" s="12"/>
      <c r="L347" s="12"/>
    </row>
    <row r="348" spans="7:12">
      <c r="G348" s="173"/>
      <c r="H348" s="11"/>
      <c r="K348" s="12"/>
      <c r="L348" s="12"/>
    </row>
    <row r="349" spans="7:12">
      <c r="G349" s="173"/>
      <c r="H349" s="11"/>
      <c r="K349" s="12"/>
      <c r="L349" s="12"/>
    </row>
    <row r="350" spans="7:12">
      <c r="G350" s="173"/>
      <c r="H350" s="11"/>
      <c r="K350" s="12"/>
      <c r="L350" s="12"/>
    </row>
    <row r="351" spans="7:12">
      <c r="G351" s="173"/>
      <c r="H351" s="11"/>
      <c r="K351" s="12"/>
      <c r="L351" s="12"/>
    </row>
    <row r="352" spans="7:12">
      <c r="G352" s="173"/>
      <c r="H352" s="11"/>
      <c r="K352" s="12"/>
      <c r="L352" s="12"/>
    </row>
    <row r="353" spans="7:12">
      <c r="G353" s="173"/>
      <c r="H353" s="11"/>
      <c r="K353" s="12"/>
      <c r="L353" s="12"/>
    </row>
    <row r="354" spans="7:12">
      <c r="G354" s="173"/>
      <c r="H354" s="11"/>
      <c r="K354" s="12"/>
      <c r="L354" s="12"/>
    </row>
    <row r="355" spans="7:12">
      <c r="G355" s="173"/>
      <c r="H355" s="11"/>
      <c r="K355" s="12"/>
      <c r="L355" s="12"/>
    </row>
    <row r="356" spans="7:12">
      <c r="G356" s="173"/>
      <c r="H356" s="11"/>
      <c r="K356" s="12"/>
      <c r="L356" s="12"/>
    </row>
    <row r="357" spans="7:12">
      <c r="G357" s="173"/>
      <c r="H357" s="11"/>
      <c r="K357" s="12"/>
      <c r="L357" s="12"/>
    </row>
    <row r="358" spans="7:12">
      <c r="G358" s="173"/>
      <c r="H358" s="11"/>
      <c r="K358" s="12"/>
      <c r="L358" s="12"/>
    </row>
    <row r="359" spans="7:12">
      <c r="G359" s="173"/>
      <c r="H359" s="11"/>
      <c r="K359" s="12"/>
      <c r="L359" s="12"/>
    </row>
    <row r="360" spans="7:12">
      <c r="G360" s="173"/>
      <c r="H360" s="11"/>
      <c r="K360" s="12"/>
      <c r="L360" s="12"/>
    </row>
    <row r="361" spans="7:12">
      <c r="G361" s="173"/>
      <c r="H361" s="11"/>
      <c r="K361" s="12"/>
      <c r="L361" s="12"/>
    </row>
    <row r="362" spans="7:12">
      <c r="G362" s="173"/>
      <c r="H362" s="11"/>
      <c r="K362" s="12"/>
      <c r="L362" s="12"/>
    </row>
    <row r="363" spans="7:12">
      <c r="G363" s="173"/>
      <c r="H363" s="11"/>
      <c r="K363" s="12"/>
      <c r="L363" s="12"/>
    </row>
    <row r="364" spans="7:12">
      <c r="G364" s="173"/>
      <c r="H364" s="11"/>
      <c r="K364" s="12"/>
      <c r="L364" s="12"/>
    </row>
    <row r="365" spans="7:12">
      <c r="G365" s="173"/>
      <c r="H365" s="11"/>
      <c r="K365" s="12"/>
      <c r="L365" s="12"/>
    </row>
    <row r="366" spans="7:12">
      <c r="G366" s="173"/>
      <c r="H366" s="11"/>
      <c r="K366" s="12"/>
      <c r="L366" s="12"/>
    </row>
    <row r="367" spans="7:12">
      <c r="G367" s="173"/>
      <c r="H367" s="11"/>
      <c r="K367" s="12"/>
      <c r="L367" s="12"/>
    </row>
    <row r="368" spans="7:12">
      <c r="G368" s="173"/>
      <c r="H368" s="11"/>
      <c r="K368" s="12"/>
      <c r="L368" s="12"/>
    </row>
    <row r="369" spans="7:12">
      <c r="G369" s="173"/>
      <c r="H369" s="11"/>
      <c r="K369" s="12"/>
      <c r="L369" s="12"/>
    </row>
    <row r="370" spans="7:12">
      <c r="G370" s="173"/>
      <c r="H370" s="11"/>
      <c r="K370" s="12"/>
      <c r="L370" s="12"/>
    </row>
    <row r="371" spans="7:12">
      <c r="G371" s="173"/>
      <c r="H371" s="11"/>
      <c r="K371" s="12"/>
      <c r="L371" s="12"/>
    </row>
    <row r="372" spans="7:12">
      <c r="G372" s="173"/>
      <c r="H372" s="11"/>
      <c r="K372" s="12"/>
      <c r="L372" s="12"/>
    </row>
    <row r="373" spans="7:12">
      <c r="G373" s="173"/>
      <c r="H373" s="11"/>
      <c r="K373" s="12"/>
      <c r="L373" s="12"/>
    </row>
    <row r="374" spans="7:12">
      <c r="G374" s="173"/>
      <c r="H374" s="11"/>
      <c r="K374" s="12"/>
      <c r="L374" s="12"/>
    </row>
    <row r="375" spans="7:12">
      <c r="G375" s="173"/>
      <c r="H375" s="11"/>
      <c r="K375" s="12"/>
      <c r="L375" s="12"/>
    </row>
    <row r="376" spans="7:12">
      <c r="G376" s="173"/>
      <c r="H376" s="11"/>
      <c r="K376" s="12"/>
      <c r="L376" s="12"/>
    </row>
    <row r="377" spans="7:12">
      <c r="G377" s="173"/>
      <c r="H377" s="11"/>
      <c r="K377" s="12"/>
      <c r="L377" s="12"/>
    </row>
    <row r="378" spans="7:12">
      <c r="G378" s="173"/>
      <c r="H378" s="11"/>
      <c r="K378" s="12"/>
      <c r="L378" s="12"/>
    </row>
    <row r="379" spans="7:12">
      <c r="G379" s="173"/>
      <c r="H379" s="11"/>
      <c r="K379" s="12"/>
      <c r="L379" s="12"/>
    </row>
    <row r="380" spans="7:12">
      <c r="G380" s="173"/>
      <c r="H380" s="11"/>
      <c r="K380" s="12"/>
      <c r="L380" s="12"/>
    </row>
    <row r="381" spans="7:12">
      <c r="G381" s="173"/>
      <c r="H381" s="11"/>
      <c r="K381" s="12"/>
      <c r="L381" s="12"/>
    </row>
    <row r="382" spans="7:12">
      <c r="G382" s="173"/>
      <c r="H382" s="11"/>
      <c r="K382" s="12"/>
      <c r="L382" s="12"/>
    </row>
    <row r="383" spans="7:12">
      <c r="G383" s="173"/>
      <c r="H383" s="11"/>
      <c r="K383" s="12"/>
      <c r="L383" s="12"/>
    </row>
    <row r="384" spans="7:12">
      <c r="G384" s="173"/>
      <c r="H384" s="11"/>
      <c r="K384" s="12"/>
      <c r="L384" s="12"/>
    </row>
    <row r="385" spans="7:12">
      <c r="G385" s="173"/>
      <c r="H385" s="11"/>
      <c r="K385" s="12"/>
      <c r="L385" s="12"/>
    </row>
    <row r="386" spans="7:12">
      <c r="G386" s="173"/>
      <c r="H386" s="11"/>
      <c r="K386" s="12"/>
      <c r="L386" s="12"/>
    </row>
    <row r="387" spans="7:12">
      <c r="G387" s="173"/>
      <c r="H387" s="11"/>
      <c r="K387" s="12"/>
      <c r="L387" s="12"/>
    </row>
    <row r="388" spans="7:12">
      <c r="G388" s="173"/>
      <c r="H388" s="11"/>
      <c r="K388" s="12"/>
      <c r="L388" s="12"/>
    </row>
    <row r="389" spans="7:12">
      <c r="G389" s="173"/>
      <c r="H389" s="11"/>
      <c r="K389" s="12"/>
      <c r="L389" s="12"/>
    </row>
    <row r="390" spans="7:12">
      <c r="G390" s="173"/>
      <c r="H390" s="11"/>
      <c r="K390" s="12"/>
      <c r="L390" s="12"/>
    </row>
    <row r="391" spans="7:12">
      <c r="G391" s="173"/>
      <c r="H391" s="11"/>
      <c r="K391" s="12"/>
      <c r="L391" s="12"/>
    </row>
    <row r="392" spans="7:12">
      <c r="G392" s="173"/>
      <c r="H392" s="11"/>
      <c r="K392" s="12"/>
      <c r="L392" s="12"/>
    </row>
    <row r="393" spans="7:12">
      <c r="G393" s="173"/>
      <c r="H393" s="11"/>
      <c r="K393" s="12"/>
      <c r="L393" s="12"/>
    </row>
    <row r="394" spans="7:12">
      <c r="G394" s="173"/>
      <c r="H394" s="11"/>
      <c r="K394" s="12"/>
      <c r="L394" s="12"/>
    </row>
    <row r="395" spans="7:12">
      <c r="G395" s="173"/>
      <c r="H395" s="11"/>
      <c r="K395" s="12"/>
      <c r="L395" s="12"/>
    </row>
    <row r="396" spans="7:12">
      <c r="G396" s="173"/>
      <c r="H396" s="11"/>
      <c r="K396" s="12"/>
      <c r="L396" s="12"/>
    </row>
    <row r="397" spans="7:12">
      <c r="G397" s="173"/>
      <c r="H397" s="11"/>
      <c r="K397" s="12"/>
      <c r="L397" s="12"/>
    </row>
    <row r="398" spans="7:12">
      <c r="G398" s="173"/>
      <c r="H398" s="11"/>
      <c r="K398" s="12"/>
      <c r="L398" s="12"/>
    </row>
    <row r="399" spans="7:12">
      <c r="G399" s="173"/>
      <c r="H399" s="11"/>
      <c r="K399" s="12"/>
      <c r="L399" s="12"/>
    </row>
    <row r="400" spans="7:12">
      <c r="G400" s="173"/>
      <c r="H400" s="11"/>
      <c r="K400" s="12"/>
      <c r="L400" s="12"/>
    </row>
    <row r="401" spans="7:12">
      <c r="G401" s="173"/>
      <c r="H401" s="11"/>
      <c r="K401" s="12"/>
      <c r="L401" s="12"/>
    </row>
    <row r="402" spans="7:12">
      <c r="G402" s="173"/>
      <c r="H402" s="11"/>
      <c r="K402" s="12"/>
      <c r="L402" s="12"/>
    </row>
    <row r="403" spans="7:12">
      <c r="G403" s="173"/>
      <c r="H403" s="11"/>
      <c r="K403" s="12"/>
      <c r="L403" s="12"/>
    </row>
    <row r="404" spans="7:12">
      <c r="G404" s="173"/>
      <c r="H404" s="11"/>
      <c r="K404" s="12"/>
      <c r="L404" s="12"/>
    </row>
    <row r="405" spans="7:12">
      <c r="G405" s="173"/>
      <c r="H405" s="11"/>
      <c r="K405" s="12"/>
      <c r="L405" s="12"/>
    </row>
    <row r="406" spans="7:12">
      <c r="G406" s="173"/>
      <c r="H406" s="11"/>
      <c r="K406" s="12"/>
      <c r="L406" s="12"/>
    </row>
    <row r="407" spans="7:12">
      <c r="G407" s="173"/>
      <c r="H407" s="11"/>
      <c r="K407" s="12"/>
      <c r="L407" s="12"/>
    </row>
    <row r="408" spans="7:12">
      <c r="G408" s="173"/>
      <c r="H408" s="11"/>
      <c r="K408" s="12"/>
      <c r="L408" s="12"/>
    </row>
    <row r="409" spans="7:12">
      <c r="G409" s="173"/>
      <c r="H409" s="11"/>
      <c r="K409" s="12"/>
      <c r="L409" s="12"/>
    </row>
    <row r="410" spans="7:12">
      <c r="G410" s="173"/>
      <c r="H410" s="11"/>
      <c r="K410" s="12"/>
      <c r="L410" s="12"/>
    </row>
    <row r="411" spans="7:12">
      <c r="G411" s="173"/>
      <c r="H411" s="11"/>
      <c r="K411" s="12"/>
      <c r="L411" s="12"/>
    </row>
    <row r="412" spans="7:12">
      <c r="G412" s="173"/>
      <c r="H412" s="11"/>
      <c r="K412" s="12"/>
      <c r="L412" s="12"/>
    </row>
    <row r="413" spans="7:12">
      <c r="G413" s="173"/>
      <c r="H413" s="11"/>
      <c r="K413" s="12"/>
      <c r="L413" s="12"/>
    </row>
    <row r="414" spans="7:12">
      <c r="G414" s="173"/>
      <c r="H414" s="11"/>
      <c r="K414" s="12"/>
      <c r="L414" s="12"/>
    </row>
    <row r="415" spans="7:12">
      <c r="G415" s="173"/>
      <c r="H415" s="11"/>
      <c r="K415" s="12"/>
      <c r="L415" s="12"/>
    </row>
    <row r="416" spans="7:12">
      <c r="G416" s="173"/>
      <c r="H416" s="11"/>
      <c r="K416" s="12"/>
      <c r="L416" s="12"/>
    </row>
    <row r="417" spans="7:12">
      <c r="G417" s="173"/>
      <c r="H417" s="11"/>
      <c r="K417" s="12"/>
      <c r="L417" s="12"/>
    </row>
    <row r="418" spans="7:12">
      <c r="G418" s="173"/>
      <c r="H418" s="11"/>
      <c r="K418" s="12"/>
      <c r="L418" s="12"/>
    </row>
    <row r="419" spans="7:12">
      <c r="G419" s="173"/>
      <c r="H419" s="11"/>
      <c r="K419" s="12"/>
      <c r="L419" s="12"/>
    </row>
    <row r="420" spans="7:12">
      <c r="G420" s="173"/>
      <c r="H420" s="11"/>
      <c r="K420" s="12"/>
      <c r="L420" s="12"/>
    </row>
    <row r="421" spans="7:12">
      <c r="G421" s="173"/>
      <c r="H421" s="11"/>
      <c r="K421" s="12"/>
      <c r="L421" s="12"/>
    </row>
    <row r="422" spans="7:12">
      <c r="G422" s="173"/>
      <c r="H422" s="11"/>
      <c r="K422" s="12"/>
      <c r="L422" s="12"/>
    </row>
    <row r="423" spans="7:12">
      <c r="G423" s="173"/>
      <c r="H423" s="11"/>
      <c r="K423" s="12"/>
      <c r="L423" s="12"/>
    </row>
    <row r="424" spans="7:12">
      <c r="G424" s="173"/>
      <c r="H424" s="11"/>
      <c r="K424" s="12"/>
      <c r="L424" s="12"/>
    </row>
    <row r="425" spans="7:12">
      <c r="G425" s="173"/>
      <c r="H425" s="11"/>
      <c r="K425" s="12"/>
      <c r="L425" s="12"/>
    </row>
    <row r="426" spans="7:12">
      <c r="G426" s="173"/>
      <c r="H426" s="11"/>
      <c r="K426" s="12"/>
      <c r="L426" s="12"/>
    </row>
    <row r="427" spans="7:12">
      <c r="G427" s="173"/>
      <c r="H427" s="11"/>
      <c r="K427" s="12"/>
      <c r="L427" s="12"/>
    </row>
    <row r="428" spans="7:12">
      <c r="G428" s="173"/>
      <c r="H428" s="11"/>
      <c r="K428" s="12"/>
      <c r="L428" s="12"/>
    </row>
    <row r="429" spans="7:12">
      <c r="G429" s="173"/>
      <c r="H429" s="11"/>
      <c r="K429" s="12"/>
      <c r="L429" s="12"/>
    </row>
    <row r="430" spans="7:12">
      <c r="G430" s="173"/>
      <c r="H430" s="11"/>
      <c r="K430" s="12"/>
      <c r="L430" s="12"/>
    </row>
    <row r="431" spans="7:12">
      <c r="G431" s="173"/>
      <c r="H431" s="11"/>
      <c r="K431" s="12"/>
      <c r="L431" s="12"/>
    </row>
    <row r="432" spans="7:12">
      <c r="G432" s="173"/>
      <c r="H432" s="11"/>
      <c r="K432" s="12"/>
      <c r="L432" s="12"/>
    </row>
    <row r="433" spans="7:12">
      <c r="G433" s="173"/>
      <c r="H433" s="11"/>
      <c r="K433" s="12"/>
      <c r="L433" s="12"/>
    </row>
    <row r="434" spans="7:12">
      <c r="G434" s="173"/>
      <c r="H434" s="11"/>
      <c r="K434" s="12"/>
      <c r="L434" s="12"/>
    </row>
    <row r="435" spans="7:12">
      <c r="G435" s="173"/>
      <c r="H435" s="11"/>
      <c r="K435" s="12"/>
      <c r="L435" s="12"/>
    </row>
    <row r="436" spans="7:12">
      <c r="G436" s="173"/>
      <c r="H436" s="11"/>
      <c r="K436" s="12"/>
      <c r="L436" s="12"/>
    </row>
    <row r="437" spans="7:12">
      <c r="G437" s="173"/>
      <c r="H437" s="11"/>
      <c r="K437" s="12"/>
      <c r="L437" s="12"/>
    </row>
    <row r="438" spans="7:12">
      <c r="G438" s="173"/>
      <c r="H438" s="11"/>
      <c r="K438" s="12"/>
      <c r="L438" s="12"/>
    </row>
    <row r="439" spans="7:12">
      <c r="G439" s="173"/>
      <c r="H439" s="11"/>
      <c r="K439" s="12"/>
      <c r="L439" s="12"/>
    </row>
    <row r="440" spans="7:12">
      <c r="G440" s="173"/>
      <c r="H440" s="11"/>
      <c r="K440" s="12"/>
      <c r="L440" s="12"/>
    </row>
    <row r="441" spans="7:12">
      <c r="G441" s="173"/>
      <c r="H441" s="11"/>
      <c r="K441" s="12"/>
      <c r="L441" s="12"/>
    </row>
  </sheetData>
  <sortState xmlns:xlrd2="http://schemas.microsoft.com/office/spreadsheetml/2017/richdata2" ref="W109:Y186">
    <sortCondition ref="Y109:Y186"/>
  </sortState>
  <phoneticPr fontId="1" type="noConversion"/>
  <pageMargins left="0.7" right="0.7" top="0.75" bottom="0.75" header="0.5" footer="0.5"/>
  <pageSetup paperSize="9" scale="78" fitToHeight="21" orientation="portrait" horizontalDpi="4294967293" verticalDpi="4294967293"/>
  <headerFooter>
    <oddHeader>&amp;F</oddHeader>
    <oddFooter>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M87"/>
  <sheetViews>
    <sheetView zoomScale="77" zoomScaleNormal="125" zoomScaleSheetLayoutView="100" zoomScalePageLayoutView="125" workbookViewId="0">
      <selection activeCell="D7" sqref="D7"/>
    </sheetView>
  </sheetViews>
  <sheetFormatPr defaultColWidth="11.453125" defaultRowHeight="13"/>
  <cols>
    <col min="1" max="1" width="18.08984375" style="11" customWidth="1"/>
    <col min="2" max="2" width="11.6328125" style="12" customWidth="1"/>
    <col min="3" max="3" width="9.81640625" style="12" customWidth="1"/>
    <col min="4" max="4" width="8.6328125" style="13" customWidth="1"/>
    <col min="5" max="5" width="9.453125" style="11" customWidth="1"/>
    <col min="6" max="6" width="11.81640625" style="11" bestFit="1" customWidth="1"/>
    <col min="7" max="7" width="9.81640625" style="11" bestFit="1" customWidth="1"/>
    <col min="8" max="8" width="11.453125" style="11" bestFit="1" customWidth="1"/>
    <col min="9" max="9" width="11.36328125" style="11" bestFit="1" customWidth="1"/>
    <col min="10" max="11" width="9.6328125" style="11" customWidth="1"/>
    <col min="12" max="12" width="9.08984375" style="11" customWidth="1"/>
    <col min="13" max="13" width="9.6328125" style="11" customWidth="1"/>
    <col min="14" max="14" width="9.08984375" style="11" customWidth="1"/>
    <col min="15" max="15" width="9.6328125" style="11" customWidth="1"/>
    <col min="16" max="16" width="9.08984375" style="11" customWidth="1"/>
    <col min="17" max="17" width="9.6328125" style="11" customWidth="1"/>
    <col min="18" max="18" width="9.08984375" style="11" customWidth="1"/>
    <col min="19" max="19" width="9.6328125" style="11" customWidth="1"/>
    <col min="20" max="20" width="9.08984375" style="11" customWidth="1"/>
    <col min="21" max="21" width="9.6328125" style="11" customWidth="1"/>
    <col min="22" max="16384" width="11.453125" style="11"/>
  </cols>
  <sheetData>
    <row r="2" spans="1:12">
      <c r="G2" s="89" t="s">
        <v>83</v>
      </c>
    </row>
    <row r="3" spans="1:12">
      <c r="A3" s="177"/>
      <c r="B3" s="178"/>
      <c r="F3" s="232" t="s">
        <v>190</v>
      </c>
      <c r="G3" s="111" cm="1">
        <f t="array" ref="G3:H7">LINEST(C18:C27,B18:B27,TRUE,TRUE)</f>
        <v>-0.23556567894377275</v>
      </c>
      <c r="H3" s="111">
        <v>2.5526223363523179</v>
      </c>
      <c r="I3" s="231" t="s">
        <v>191</v>
      </c>
    </row>
    <row r="4" spans="1:12">
      <c r="F4" s="232" t="s">
        <v>193</v>
      </c>
      <c r="G4" s="111">
        <v>4.8338501621821899E-2</v>
      </c>
      <c r="H4" s="111">
        <v>7.7415386135738881E-2</v>
      </c>
      <c r="I4" s="231" t="s">
        <v>194</v>
      </c>
    </row>
    <row r="5" spans="1:12" ht="15">
      <c r="F5" s="232" t="s">
        <v>196</v>
      </c>
      <c r="G5" s="111">
        <v>0.74802023331584144</v>
      </c>
      <c r="H5" s="111">
        <v>0.12566703326687279</v>
      </c>
      <c r="I5" s="231" t="s">
        <v>197</v>
      </c>
    </row>
    <row r="6" spans="1:12">
      <c r="F6" s="232" t="s">
        <v>198</v>
      </c>
      <c r="G6" s="111">
        <v>23.748580869302568</v>
      </c>
      <c r="H6" s="11">
        <v>8</v>
      </c>
      <c r="I6" s="231" t="s">
        <v>199</v>
      </c>
    </row>
    <row r="7" spans="1:12" ht="13.5" thickBot="1">
      <c r="F7" s="233" t="s">
        <v>200</v>
      </c>
      <c r="G7" s="111">
        <v>0.3750424159893988</v>
      </c>
      <c r="H7" s="235">
        <v>0.12633762600077847</v>
      </c>
      <c r="I7" s="234" t="s">
        <v>201</v>
      </c>
    </row>
    <row r="8" spans="1:12" ht="15.5" thickTop="1">
      <c r="L8" s="37"/>
    </row>
    <row r="9" spans="1:12" ht="13.5" thickBot="1">
      <c r="A9" s="33"/>
      <c r="B9" s="24" t="s">
        <v>84</v>
      </c>
      <c r="C9" s="24" t="s">
        <v>85</v>
      </c>
      <c r="D9" s="34"/>
      <c r="E9" s="33"/>
      <c r="F9" s="33"/>
      <c r="G9" s="33"/>
      <c r="H9" s="33"/>
      <c r="I9" s="33"/>
    </row>
    <row r="10" spans="1:12" ht="13.5" thickBot="1">
      <c r="A10" s="11" t="s">
        <v>86</v>
      </c>
      <c r="B10" s="230">
        <f>INTERCEPT(C18:C27,B18:B27)</f>
        <v>2.5526223363523184</v>
      </c>
      <c r="C10" s="111">
        <f>H4</f>
        <v>7.7415386135738881E-2</v>
      </c>
      <c r="D10" s="12"/>
      <c r="E10" s="36"/>
      <c r="F10" s="12"/>
      <c r="G10" s="12"/>
      <c r="H10" s="12"/>
      <c r="I10" s="12"/>
    </row>
    <row r="11" spans="1:12">
      <c r="A11" s="22" t="s">
        <v>87</v>
      </c>
      <c r="B11" s="35">
        <f>SLOPE(C18:C27,B18:B27)</f>
        <v>-0.23556567894377284</v>
      </c>
      <c r="C11" s="273">
        <f>G4</f>
        <v>4.8338501621821899E-2</v>
      </c>
      <c r="D11" s="12"/>
      <c r="E11" s="13"/>
      <c r="F11" s="13"/>
      <c r="G11" s="13"/>
      <c r="H11" s="13"/>
      <c r="I11" s="13"/>
    </row>
    <row r="12" spans="1:12">
      <c r="C12" s="111"/>
    </row>
    <row r="13" spans="1:12" ht="15">
      <c r="A13" s="78" t="s">
        <v>88</v>
      </c>
      <c r="B13" s="77">
        <f>EXP(B10)</f>
        <v>12.840732389968926</v>
      </c>
      <c r="C13" s="274">
        <f>B13*C10</f>
        <v>0.99407025623513356</v>
      </c>
      <c r="E13" s="32"/>
      <c r="F13" s="32"/>
    </row>
    <row r="16" spans="1:12" ht="15">
      <c r="A16" s="4" t="s">
        <v>49</v>
      </c>
      <c r="B16" s="4" t="s">
        <v>57</v>
      </c>
      <c r="C16" s="4" t="s">
        <v>89</v>
      </c>
    </row>
    <row r="17" spans="1:13" ht="15">
      <c r="A17" s="44" t="s">
        <v>59</v>
      </c>
      <c r="B17" s="44" t="s">
        <v>61</v>
      </c>
      <c r="C17" s="44"/>
    </row>
    <row r="18" spans="1:13">
      <c r="A18" s="259" cm="1">
        <f t="array" ref="A18:A27">_xlfn._xlws.FILTER(Concentrations!A5:'Concentrations'!A24,(Concentrations!A5:'Concentrations'!A24&lt;&gt;""))</f>
        <v>0.5</v>
      </c>
      <c r="B18" s="259" cm="1">
        <f t="array" ref="B18:B27">_xlfn._xlws.FILTER(Concentrations!N5:'Concentrations'!N24,(Concentrations!N5:'Concentrations'!N24&lt;&gt;""))</f>
        <v>0.11305196145</v>
      </c>
      <c r="C18" s="259" cm="1">
        <f t="array" ref="C18:C27">_xlfn._xlws.FILTER(Concentrations!O5:'Concentrations'!O24,(Concentrations!O5:'Concentrations'!O24&lt;&gt;""))</f>
        <v>2.4151091582414264</v>
      </c>
    </row>
    <row r="19" spans="1:13">
      <c r="A19" s="259">
        <v>1.5</v>
      </c>
      <c r="B19" s="259">
        <v>0.36344806950000003</v>
      </c>
      <c r="C19" s="259">
        <v>2.3419753102451861</v>
      </c>
    </row>
    <row r="20" spans="1:13">
      <c r="A20" s="259">
        <v>2.5</v>
      </c>
      <c r="B20" s="259">
        <v>0.64298113364999998</v>
      </c>
      <c r="C20" s="259">
        <v>2.4479758163356573</v>
      </c>
      <c r="E20" s="175"/>
    </row>
    <row r="21" spans="1:13">
      <c r="A21" s="259">
        <v>3.5</v>
      </c>
      <c r="B21" s="259">
        <v>0.93134726709999993</v>
      </c>
      <c r="C21" s="259">
        <v>2.3918075458918255</v>
      </c>
    </row>
    <row r="22" spans="1:13">
      <c r="A22" s="259">
        <v>4.5</v>
      </c>
      <c r="B22" s="259">
        <v>1.2253343395499998</v>
      </c>
      <c r="C22" s="259">
        <v>2.3714154564235437</v>
      </c>
    </row>
    <row r="23" spans="1:13">
      <c r="A23" s="259">
        <v>5.5</v>
      </c>
      <c r="B23" s="259">
        <v>1.5205182124499999</v>
      </c>
      <c r="C23" s="259">
        <v>2.2843685594316989</v>
      </c>
    </row>
    <row r="24" spans="1:13">
      <c r="A24" s="259">
        <v>6.5</v>
      </c>
      <c r="B24" s="259">
        <v>1.81244428245</v>
      </c>
      <c r="C24" s="259">
        <v>2.271076123315968</v>
      </c>
    </row>
    <row r="25" spans="1:13">
      <c r="A25" s="259">
        <v>7.5</v>
      </c>
      <c r="B25" s="259">
        <v>2.0983551990000002</v>
      </c>
      <c r="C25" s="259">
        <v>2.1390459831372111</v>
      </c>
    </row>
    <row r="26" spans="1:13">
      <c r="A26" s="259">
        <v>8.5</v>
      </c>
      <c r="B26" s="259">
        <v>2.3814719588999997</v>
      </c>
      <c r="C26" s="259">
        <v>1.8092272585427991</v>
      </c>
    </row>
    <row r="27" spans="1:13">
      <c r="A27" s="259">
        <v>9.5</v>
      </c>
      <c r="B27" s="259">
        <v>2.6552368568000002</v>
      </c>
      <c r="C27" s="259">
        <v>1.8165628724827125</v>
      </c>
    </row>
    <row r="28" spans="1:13">
      <c r="A28" s="12"/>
    </row>
    <row r="29" spans="1:13">
      <c r="A29" s="12"/>
    </row>
    <row r="30" spans="1:13">
      <c r="F30" s="111"/>
    </row>
    <row r="31" spans="1:13">
      <c r="F31" s="111"/>
      <c r="M31" s="11">
        <f>100*0.03</f>
        <v>3</v>
      </c>
    </row>
    <row r="32" spans="1:13">
      <c r="F32" s="111"/>
    </row>
    <row r="33" spans="6:6">
      <c r="F33" s="111"/>
    </row>
    <row r="34" spans="6:6">
      <c r="F34" s="111"/>
    </row>
    <row r="35" spans="6:6">
      <c r="F35" s="111"/>
    </row>
    <row r="36" spans="6:6">
      <c r="F36" s="111"/>
    </row>
    <row r="37" spans="6:6">
      <c r="F37" s="111"/>
    </row>
    <row r="38" spans="6:6">
      <c r="F38" s="111"/>
    </row>
    <row r="39" spans="6:6">
      <c r="F39" s="111"/>
    </row>
    <row r="40" spans="6:6">
      <c r="F40" s="111"/>
    </row>
    <row r="41" spans="6:6">
      <c r="F41" s="111"/>
    </row>
    <row r="42" spans="6:6">
      <c r="F42" s="111"/>
    </row>
    <row r="43" spans="6:6">
      <c r="F43" s="111"/>
    </row>
    <row r="44" spans="6:6">
      <c r="F44" s="111"/>
    </row>
    <row r="45" spans="6:6">
      <c r="F45" s="111"/>
    </row>
    <row r="46" spans="6:6">
      <c r="F46" s="111"/>
    </row>
    <row r="47" spans="6:6">
      <c r="F47" s="111"/>
    </row>
    <row r="48" spans="6:6">
      <c r="F48" s="111"/>
    </row>
    <row r="49" spans="6:8">
      <c r="F49" s="111"/>
    </row>
    <row r="50" spans="6:8">
      <c r="F50" s="111"/>
    </row>
    <row r="51" spans="6:8">
      <c r="F51" s="111"/>
    </row>
    <row r="52" spans="6:8">
      <c r="F52" s="111"/>
    </row>
    <row r="53" spans="6:8">
      <c r="F53" s="111"/>
    </row>
    <row r="54" spans="6:8">
      <c r="F54" s="111"/>
    </row>
    <row r="55" spans="6:8">
      <c r="F55" s="111"/>
    </row>
    <row r="56" spans="6:8">
      <c r="F56" s="111"/>
    </row>
    <row r="57" spans="6:8">
      <c r="F57" s="111"/>
    </row>
    <row r="58" spans="6:8">
      <c r="F58" s="111"/>
    </row>
    <row r="59" spans="6:8">
      <c r="F59" s="111"/>
    </row>
    <row r="60" spans="6:8">
      <c r="F60" s="111"/>
    </row>
    <row r="61" spans="6:8">
      <c r="F61" s="111"/>
    </row>
    <row r="62" spans="6:8">
      <c r="F62" s="111"/>
      <c r="G62" s="111"/>
      <c r="H62" s="111"/>
    </row>
    <row r="63" spans="6:8">
      <c r="F63" s="111"/>
      <c r="G63" s="111"/>
      <c r="H63" s="111"/>
    </row>
    <row r="64" spans="6:8">
      <c r="F64" s="111"/>
      <c r="G64" s="111"/>
      <c r="H64" s="111"/>
    </row>
    <row r="65" spans="6:8">
      <c r="F65" s="111"/>
      <c r="G65" s="111"/>
      <c r="H65" s="111"/>
    </row>
    <row r="66" spans="6:8">
      <c r="F66" s="111"/>
      <c r="G66" s="111"/>
      <c r="H66" s="111"/>
    </row>
    <row r="67" spans="6:8">
      <c r="F67" s="111"/>
      <c r="G67" s="111"/>
      <c r="H67" s="111"/>
    </row>
    <row r="68" spans="6:8">
      <c r="F68" s="111"/>
      <c r="G68" s="111"/>
      <c r="H68" s="111"/>
    </row>
    <row r="69" spans="6:8">
      <c r="F69" s="111"/>
      <c r="G69" s="111"/>
      <c r="H69" s="111"/>
    </row>
    <row r="70" spans="6:8">
      <c r="F70" s="111"/>
      <c r="G70" s="111"/>
      <c r="H70" s="111"/>
    </row>
    <row r="71" spans="6:8">
      <c r="F71" s="111"/>
      <c r="G71" s="111"/>
      <c r="H71" s="111"/>
    </row>
    <row r="72" spans="6:8">
      <c r="F72" s="111"/>
      <c r="G72" s="111"/>
      <c r="H72" s="111"/>
    </row>
    <row r="73" spans="6:8">
      <c r="F73" s="111"/>
      <c r="G73" s="111"/>
      <c r="H73" s="111"/>
    </row>
    <row r="74" spans="6:8">
      <c r="F74" s="111"/>
      <c r="G74" s="111"/>
      <c r="H74" s="111"/>
    </row>
    <row r="75" spans="6:8">
      <c r="F75" s="111"/>
      <c r="G75" s="111"/>
      <c r="H75" s="111"/>
    </row>
    <row r="76" spans="6:8">
      <c r="F76" s="111"/>
      <c r="G76" s="111"/>
      <c r="H76" s="111"/>
    </row>
    <row r="77" spans="6:8">
      <c r="F77" s="111"/>
      <c r="G77" s="111"/>
      <c r="H77" s="111"/>
    </row>
    <row r="78" spans="6:8">
      <c r="F78" s="111"/>
      <c r="G78" s="111"/>
      <c r="H78" s="111"/>
    </row>
    <row r="79" spans="6:8">
      <c r="F79" s="111"/>
      <c r="G79" s="111"/>
      <c r="H79" s="111"/>
    </row>
    <row r="80" spans="6:8">
      <c r="F80" s="111"/>
      <c r="G80" s="111"/>
      <c r="H80" s="111"/>
    </row>
    <row r="81" spans="6:8">
      <c r="F81" s="111"/>
      <c r="G81" s="111"/>
      <c r="H81" s="111"/>
    </row>
    <row r="82" spans="6:8">
      <c r="F82" s="111"/>
      <c r="G82" s="111"/>
      <c r="H82" s="111"/>
    </row>
    <row r="83" spans="6:8">
      <c r="F83" s="111"/>
      <c r="G83" s="111"/>
      <c r="H83" s="111"/>
    </row>
    <row r="84" spans="6:8">
      <c r="F84" s="111"/>
      <c r="G84" s="111"/>
      <c r="H84" s="111"/>
    </row>
    <row r="85" spans="6:8">
      <c r="F85" s="111"/>
      <c r="G85" s="111"/>
      <c r="H85" s="111"/>
    </row>
    <row r="86" spans="6:8">
      <c r="F86" s="111"/>
      <c r="G86" s="111"/>
      <c r="H86" s="111"/>
    </row>
    <row r="87" spans="6:8">
      <c r="F87" s="111"/>
      <c r="G87" s="111"/>
      <c r="H87" s="111"/>
    </row>
  </sheetData>
  <phoneticPr fontId="1" type="noConversion"/>
  <pageMargins left="1.1100000000000001" right="0.7" top="0.75" bottom="0.75" header="0.5" footer="0.5"/>
  <pageSetup paperSize="9" scale="93" orientation="landscape" horizontalDpi="4294967293" verticalDpi="4294967293"/>
  <headerFooter>
    <oddHeader>&amp;F</oddHeader>
    <oddFooter>&amp;A</oddFooter>
  </headerFooter>
  <colBreaks count="1" manualBreakCount="1">
    <brk id="9" max="37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0" tint="-0.34998626667073579"/>
    <pageSetUpPr fitToPage="1"/>
  </sheetPr>
  <dimension ref="A1:AX212"/>
  <sheetViews>
    <sheetView zoomScale="138" zoomScaleSheetLayoutView="100" workbookViewId="0">
      <selection activeCell="J75" sqref="J75"/>
    </sheetView>
  </sheetViews>
  <sheetFormatPr defaultColWidth="7.6328125" defaultRowHeight="13"/>
  <cols>
    <col min="1" max="2" width="7.6328125" style="24" customWidth="1"/>
    <col min="3" max="4" width="7.6328125" style="45" customWidth="1"/>
    <col min="5" max="5" width="12.81640625" style="24" customWidth="1"/>
    <col min="6" max="6" width="11.36328125" style="34" customWidth="1"/>
    <col min="7" max="7" width="11.36328125" style="50" customWidth="1"/>
    <col min="8" max="8" width="11.36328125" style="24" customWidth="1"/>
    <col min="9" max="10" width="7.6328125" style="24" customWidth="1"/>
    <col min="11" max="11" width="9.08984375" style="33" bestFit="1" customWidth="1"/>
    <col min="12" max="12" width="8.453125" style="33" bestFit="1" customWidth="1"/>
    <col min="13" max="13" width="8.08984375" style="167" bestFit="1" customWidth="1"/>
    <col min="14" max="14" width="9.08984375" style="167" customWidth="1"/>
    <col min="15" max="15" width="8.08984375" style="167" bestFit="1" customWidth="1"/>
    <col min="16" max="16" width="9" style="167" customWidth="1"/>
    <col min="17" max="17" width="7.81640625" style="33" bestFit="1" customWidth="1"/>
    <col min="18" max="16384" width="7.6328125" style="33"/>
  </cols>
  <sheetData>
    <row r="1" spans="1:49">
      <c r="A1" s="56"/>
      <c r="B1" s="56"/>
      <c r="E1" s="56"/>
      <c r="M1" s="166"/>
    </row>
    <row r="2" spans="1:49" s="23" customFormat="1" ht="18" customHeight="1">
      <c r="A2" s="3" t="s">
        <v>49</v>
      </c>
      <c r="B2" s="3" t="s">
        <v>90</v>
      </c>
      <c r="C2" s="5" t="s">
        <v>91</v>
      </c>
      <c r="D2" s="5" t="s">
        <v>92</v>
      </c>
      <c r="E2" s="90" t="s">
        <v>93</v>
      </c>
      <c r="F2" s="6" t="s">
        <v>94</v>
      </c>
      <c r="G2" s="25" t="s">
        <v>95</v>
      </c>
      <c r="H2" s="3" t="s">
        <v>96</v>
      </c>
      <c r="I2" s="3" t="s">
        <v>97</v>
      </c>
      <c r="J2" s="3" t="s">
        <v>98</v>
      </c>
      <c r="K2" s="3" t="s">
        <v>99</v>
      </c>
      <c r="L2" s="3" t="s">
        <v>100</v>
      </c>
      <c r="M2" s="169" t="s">
        <v>101</v>
      </c>
      <c r="N2" s="169" t="s">
        <v>102</v>
      </c>
      <c r="O2" s="169" t="s">
        <v>103</v>
      </c>
      <c r="P2" s="169" t="s">
        <v>104</v>
      </c>
      <c r="Q2" s="340" t="s">
        <v>40</v>
      </c>
      <c r="R2" s="340"/>
      <c r="S2" s="340"/>
      <c r="AI2" s="23" t="s">
        <v>105</v>
      </c>
    </row>
    <row r="3" spans="1:49" s="42" customFormat="1" ht="18" customHeight="1">
      <c r="A3" s="7" t="s">
        <v>59</v>
      </c>
      <c r="B3" s="7"/>
      <c r="C3" s="9" t="s">
        <v>106</v>
      </c>
      <c r="D3" s="9"/>
      <c r="E3" s="91" t="s">
        <v>107</v>
      </c>
      <c r="F3" s="10"/>
      <c r="G3" s="26"/>
      <c r="H3" s="7"/>
      <c r="I3" s="7" t="s">
        <v>106</v>
      </c>
      <c r="J3" s="7"/>
      <c r="K3" s="7" t="s">
        <v>106</v>
      </c>
      <c r="L3" s="8"/>
      <c r="M3" s="168" t="s">
        <v>108</v>
      </c>
      <c r="N3" s="168"/>
      <c r="O3" s="168" t="s">
        <v>109</v>
      </c>
      <c r="P3" s="168"/>
      <c r="Q3" s="147" t="s">
        <v>110</v>
      </c>
      <c r="R3" s="147"/>
      <c r="S3" s="147"/>
      <c r="AI3" s="42" t="s">
        <v>111</v>
      </c>
    </row>
    <row r="4" spans="1:49" ht="13" customHeight="1" thickBot="1">
      <c r="E4" s="81"/>
      <c r="I4" s="56">
        <v>0</v>
      </c>
      <c r="J4" s="56">
        <v>0</v>
      </c>
    </row>
    <row r="5" spans="1:49" ht="17" customHeight="1" thickTop="1" thickBot="1">
      <c r="A5" s="314">
        <f>Masses!C8</f>
        <v>0.5</v>
      </c>
      <c r="B5" s="314">
        <f>Concentrations!O5</f>
        <v>2.4151091582414264</v>
      </c>
      <c r="C5" s="314">
        <f>LN('C0 CA'!$B$13/Concentrations!G5)/Constants!$B$25</f>
        <v>4.4102003660112459</v>
      </c>
      <c r="D5" s="314">
        <f>SQRT(F5^2+G5^2+H5^2)/Constants!$B$25</f>
        <v>2.5001548052887554</v>
      </c>
      <c r="E5" s="338">
        <f>Constants!$B$15-CA!C5</f>
        <v>2017.1840846703119</v>
      </c>
      <c r="F5" s="314">
        <f>Constants!$B$26*C5</f>
        <v>7.423113528253289E-4</v>
      </c>
      <c r="G5" s="314">
        <f>'C0 CA'!$C$13/'C0 CA'!$B$13</f>
        <v>7.7415386135738881E-2</v>
      </c>
      <c r="H5" s="314">
        <f>Concentrations!H5/Concentrations!G5</f>
        <v>9.1399508264228199E-3</v>
      </c>
      <c r="I5" s="314"/>
      <c r="J5" s="314"/>
      <c r="K5" s="314">
        <f>I6-I4</f>
        <v>5.5829422356694849</v>
      </c>
      <c r="L5" s="314">
        <f>SQRT(SUMSQ(J4,J6))</f>
        <v>1.7688869971679722</v>
      </c>
      <c r="M5" s="308">
        <f>(Masses!B9-Masses!B7)/K5</f>
        <v>0.17911702428353782</v>
      </c>
      <c r="N5" s="308">
        <f>M5*L5/K5</f>
        <v>5.6751039479199628E-2</v>
      </c>
      <c r="O5" s="308">
        <f>(Masses!I9-Masses!I7)/K5</f>
        <v>4.0499061848682461E-2</v>
      </c>
      <c r="P5" s="308">
        <f>O5*L5/K5</f>
        <v>1.2831632654899807E-2</v>
      </c>
      <c r="Q5" s="305">
        <f>Masses!K8</f>
        <v>0.11305196145</v>
      </c>
      <c r="AH5" s="57" t="s">
        <v>112</v>
      </c>
      <c r="AI5" s="58">
        <v>3.1179999999999999E-2</v>
      </c>
      <c r="AL5" s="96" t="s">
        <v>113</v>
      </c>
    </row>
    <row r="6" spans="1:49" ht="13.5" thickTop="1">
      <c r="A6" s="314"/>
      <c r="B6" s="314"/>
      <c r="C6" s="314"/>
      <c r="D6" s="314"/>
      <c r="E6" s="338"/>
      <c r="F6" s="314"/>
      <c r="G6" s="314"/>
      <c r="H6" s="314"/>
      <c r="I6" s="314">
        <f>AVERAGE(C5,C7)</f>
        <v>5.5829422356694849</v>
      </c>
      <c r="J6" s="314">
        <f>SQRT(SUMSQ(D5,D7))/2</f>
        <v>1.7688869971679722</v>
      </c>
      <c r="K6" s="314"/>
      <c r="L6" s="314"/>
      <c r="M6" s="308"/>
      <c r="N6" s="308"/>
      <c r="O6" s="308"/>
      <c r="P6" s="308"/>
      <c r="Q6" s="305"/>
      <c r="AM6" s="33" t="s">
        <v>114</v>
      </c>
    </row>
    <row r="7" spans="1:49">
      <c r="A7" s="314">
        <f>Masses!C10</f>
        <v>1.5</v>
      </c>
      <c r="B7" s="314">
        <f>Concentrations!O7</f>
        <v>2.3419753102451861</v>
      </c>
      <c r="C7" s="314">
        <f>LN('C0 CA'!$B$13/Concentrations!G7)/Constants!$B$25</f>
        <v>6.7556841053277239</v>
      </c>
      <c r="D7" s="314">
        <f>SQRT(F7^2+G7^2+H7^2)/Constants!$B$25</f>
        <v>2.5030123420772914</v>
      </c>
      <c r="E7" s="338">
        <f>Constants!$B$15-CA!C7</f>
        <v>2014.8386009309954</v>
      </c>
      <c r="F7" s="314">
        <f>Constants!$B$26*C7</f>
        <v>1.1370959573934259E-3</v>
      </c>
      <c r="G7" s="314">
        <f>'C0 CA'!$C$13/'C0 CA'!$B$13</f>
        <v>7.7415386135738881E-2</v>
      </c>
      <c r="H7" s="314">
        <f>Concentrations!H7/Concentrations!G7</f>
        <v>9.8334403566996444E-3</v>
      </c>
      <c r="I7" s="314"/>
      <c r="J7" s="314"/>
      <c r="K7" s="314">
        <f>I8-I6</f>
        <v>-0.52703511600850206</v>
      </c>
      <c r="L7" s="314">
        <f>SQRT(SUMSQ(J6,J8))</f>
        <v>2.5012988960948501</v>
      </c>
      <c r="M7" s="308">
        <f>(Masses!B11-Masses!B9)/K7</f>
        <v>-1.8974067754222816</v>
      </c>
      <c r="N7" s="308">
        <f>M7*L7/K7</f>
        <v>9.0050574025319428</v>
      </c>
      <c r="O7" s="308">
        <f>(Masses!I11-Masses!I9)/K7</f>
        <v>-0.52119542864686219</v>
      </c>
      <c r="P7" s="308">
        <f>O7*L7/K7</f>
        <v>2.473583848069524</v>
      </c>
      <c r="Q7" s="305">
        <f>Masses!K10</f>
        <v>0.36344806950000003</v>
      </c>
      <c r="AM7" s="33" t="s">
        <v>115</v>
      </c>
    </row>
    <row r="8" spans="1:49">
      <c r="A8" s="314"/>
      <c r="B8" s="314"/>
      <c r="C8" s="314"/>
      <c r="D8" s="314"/>
      <c r="E8" s="338"/>
      <c r="F8" s="314"/>
      <c r="G8" s="314"/>
      <c r="H8" s="314"/>
      <c r="I8" s="314">
        <f>AVERAGE(C7,C9)</f>
        <v>5.0559071196609828</v>
      </c>
      <c r="J8" s="314">
        <f>SQRT(SUMSQ(D7,D9))/2</f>
        <v>1.7684838022598317</v>
      </c>
      <c r="K8" s="314"/>
      <c r="L8" s="314"/>
      <c r="M8" s="308"/>
      <c r="N8" s="308"/>
      <c r="O8" s="308"/>
      <c r="P8" s="308"/>
      <c r="Q8" s="305"/>
      <c r="AE8" s="23"/>
      <c r="AF8" s="23"/>
      <c r="AU8" s="49"/>
      <c r="AV8" s="49"/>
      <c r="AW8" s="49"/>
    </row>
    <row r="9" spans="1:49">
      <c r="A9" s="314">
        <f>Masses!C12</f>
        <v>2.5</v>
      </c>
      <c r="B9" s="314">
        <f>Concentrations!O9</f>
        <v>2.4479758163356573</v>
      </c>
      <c r="C9" s="314">
        <f>LN('C0 CA'!$B$13/Concentrations!G9)/Constants!$B$25</f>
        <v>3.3561301339942418</v>
      </c>
      <c r="D9" s="314">
        <f>SQRT(F9^2+G9^2+H9^2)/Constants!$B$25</f>
        <v>2.4990136155752167</v>
      </c>
      <c r="E9" s="338">
        <f>Constants!$B$15-CA!C9</f>
        <v>2018.2381549023289</v>
      </c>
      <c r="F9" s="314">
        <f>Constants!$B$26*C9</f>
        <v>5.6489349536659249E-4</v>
      </c>
      <c r="G9" s="314">
        <f>'C0 CA'!$C$13/'C0 CA'!$B$13</f>
        <v>7.7415386135738881E-2</v>
      </c>
      <c r="H9" s="314">
        <f>Concentrations!H9/Concentrations!G9</f>
        <v>8.8444340016578821E-3</v>
      </c>
      <c r="I9" s="314"/>
      <c r="J9" s="314"/>
      <c r="K9" s="314">
        <f>I10-I8</f>
        <v>-0.79908757439502232</v>
      </c>
      <c r="L9" s="314">
        <f>SQRT(SUMSQ(J8,J10))</f>
        <v>2.5005144673600088</v>
      </c>
      <c r="M9" s="308">
        <f>(Masses!B13-Masses!B11)/K9</f>
        <v>-1.2514272928809906</v>
      </c>
      <c r="N9" s="308">
        <f>M9*L9/K9</f>
        <v>3.9159813654556821</v>
      </c>
      <c r="O9" s="308">
        <f>(Masses!I13-Masses!I11)/K9</f>
        <v>-0.35587818433454965</v>
      </c>
      <c r="P9" s="308">
        <f>O9*L9/K9</f>
        <v>1.1136183030002285</v>
      </c>
      <c r="Q9" s="305">
        <f>Masses!K12</f>
        <v>0.64298113364999998</v>
      </c>
    </row>
    <row r="10" spans="1:49">
      <c r="A10" s="314"/>
      <c r="B10" s="314"/>
      <c r="C10" s="314"/>
      <c r="D10" s="314"/>
      <c r="E10" s="338"/>
      <c r="F10" s="314"/>
      <c r="G10" s="314"/>
      <c r="H10" s="314"/>
      <c r="I10" s="314">
        <f>AVERAGE(C9,C11)</f>
        <v>4.2568195452659605</v>
      </c>
      <c r="J10" s="314">
        <f>SQRT(SUMSQ(D9,D11))/2</f>
        <v>1.767777599875425</v>
      </c>
      <c r="K10" s="314"/>
      <c r="L10" s="314"/>
      <c r="M10" s="308"/>
      <c r="N10" s="308"/>
      <c r="O10" s="308"/>
      <c r="P10" s="308"/>
      <c r="Q10" s="305"/>
    </row>
    <row r="11" spans="1:49">
      <c r="A11" s="314">
        <f>Masses!C14</f>
        <v>3.5</v>
      </c>
      <c r="B11" s="314">
        <f>Concentrations!O11</f>
        <v>2.3918075458918255</v>
      </c>
      <c r="C11" s="314">
        <f>LN('C0 CA'!$B$13/Concentrations!G11)/Constants!$B$25</f>
        <v>5.1575089565376802</v>
      </c>
      <c r="D11" s="314">
        <f>SQRT(F11^2+G11^2+H11^2)/Constants!$B$25</f>
        <v>2.50101609744019</v>
      </c>
      <c r="E11" s="338">
        <f>Constants!$B$15-CA!C11</f>
        <v>2016.4367760797854</v>
      </c>
      <c r="F11" s="314">
        <f>Constants!$B$26*C11</f>
        <v>8.680960348744557E-4</v>
      </c>
      <c r="G11" s="314">
        <f>'C0 CA'!$C$13/'C0 CA'!$B$13</f>
        <v>7.7415386135738881E-2</v>
      </c>
      <c r="H11" s="314">
        <f>Concentrations!H11/Concentrations!G11</f>
        <v>9.3554270922138107E-3</v>
      </c>
      <c r="I11" s="314"/>
      <c r="J11" s="314"/>
      <c r="K11" s="314">
        <f>I12-I10</f>
        <v>1.2276878912436811</v>
      </c>
      <c r="L11" s="314">
        <f>SQRT(SUMSQ(J10,J12))</f>
        <v>2.5007134020787078</v>
      </c>
      <c r="M11" s="308">
        <f>(Masses!B15-Masses!B13)/K11</f>
        <v>0.8145392710414151</v>
      </c>
      <c r="N11" s="308">
        <f>M11*L11/K11</f>
        <v>1.659158884062319</v>
      </c>
      <c r="O11" s="308">
        <f>(Masses!I15-Masses!I13)/K11</f>
        <v>0.23813416576409907</v>
      </c>
      <c r="P11" s="308">
        <f>O11*L11/K11</f>
        <v>0.48506245281596139</v>
      </c>
      <c r="Q11" s="305">
        <f>Masses!K14</f>
        <v>0.93134726709999993</v>
      </c>
    </row>
    <row r="12" spans="1:49">
      <c r="A12" s="314"/>
      <c r="B12" s="314"/>
      <c r="C12" s="314"/>
      <c r="D12" s="314"/>
      <c r="E12" s="338"/>
      <c r="F12" s="314"/>
      <c r="G12" s="314"/>
      <c r="H12" s="314"/>
      <c r="I12" s="314">
        <f>AVERAGE(C11,C13)</f>
        <v>5.4845074365096416</v>
      </c>
      <c r="J12" s="314">
        <f>SQRT(SUMSQ(D11,D13))/2</f>
        <v>1.7687650710919038</v>
      </c>
      <c r="K12" s="314"/>
      <c r="L12" s="314"/>
      <c r="M12" s="308"/>
      <c r="N12" s="308"/>
      <c r="O12" s="308"/>
      <c r="P12" s="308"/>
      <c r="Q12" s="305"/>
      <c r="AG12" s="23" t="s">
        <v>116</v>
      </c>
    </row>
    <row r="13" spans="1:49">
      <c r="A13" s="314">
        <f>Masses!C16</f>
        <v>4.5</v>
      </c>
      <c r="B13" s="314">
        <f>Concentrations!O13</f>
        <v>2.3714154564235437</v>
      </c>
      <c r="C13" s="314">
        <f>LN('C0 CA'!$B$13/Concentrations!G13)/Constants!$B$25</f>
        <v>5.811505916481603</v>
      </c>
      <c r="D13" s="314">
        <f>SQRT(F13^2+G13^2+H13^2)/Constants!$B$25</f>
        <v>2.5018069444311712</v>
      </c>
      <c r="E13" s="338">
        <f>Constants!$B$15-CA!C13</f>
        <v>2015.7827791198415</v>
      </c>
      <c r="F13" s="314">
        <f>Constants!$B$26*C13</f>
        <v>9.7817479043873015E-4</v>
      </c>
      <c r="G13" s="314">
        <f>'C0 CA'!$C$13/'C0 CA'!$B$13</f>
        <v>7.7415386135738881E-2</v>
      </c>
      <c r="H13" s="314">
        <f>Concentrations!H13/Concentrations!G13</f>
        <v>9.5481623211725302E-3</v>
      </c>
      <c r="I13" s="314"/>
      <c r="J13" s="314"/>
      <c r="K13" s="314">
        <f>I14-I12</f>
        <v>1.7228438172966491</v>
      </c>
      <c r="L13" s="314">
        <f>SQRT(SUMSQ(J12,J14))</f>
        <v>2.5025587023215063</v>
      </c>
      <c r="M13" s="308">
        <f>(Masses!B17-Masses!B15)/K13</f>
        <v>0.58043566686684422</v>
      </c>
      <c r="N13" s="308">
        <f>M13*L13/K13</f>
        <v>0.84312594947502151</v>
      </c>
      <c r="O13" s="308">
        <f>(Masses!I17-Masses!I15)/K13</f>
        <v>0.17158822531218365</v>
      </c>
      <c r="P13" s="308">
        <f>O13*L13/K13</f>
        <v>0.24924465129097095</v>
      </c>
      <c r="Q13" s="305">
        <f>Masses!K16</f>
        <v>1.2253343395499998</v>
      </c>
      <c r="AE13" s="23" t="s">
        <v>117</v>
      </c>
      <c r="AG13" s="23" t="s">
        <v>118</v>
      </c>
    </row>
    <row r="14" spans="1:49">
      <c r="A14" s="314"/>
      <c r="B14" s="314"/>
      <c r="C14" s="314"/>
      <c r="D14" s="314"/>
      <c r="E14" s="338"/>
      <c r="F14" s="314"/>
      <c r="G14" s="314"/>
      <c r="H14" s="314"/>
      <c r="I14" s="314">
        <f>AVERAGE(C13,C15)</f>
        <v>7.2073512538062907</v>
      </c>
      <c r="J14" s="314">
        <f>SQRT(SUMSQ(D13,D15))/2</f>
        <v>1.770387014709031</v>
      </c>
      <c r="K14" s="314"/>
      <c r="L14" s="314"/>
      <c r="M14" s="308"/>
      <c r="N14" s="308"/>
      <c r="O14" s="308"/>
      <c r="P14" s="308"/>
      <c r="Q14" s="305"/>
      <c r="AE14" s="33">
        <f>SLOPE(B5:B43,Q5:Q43)</f>
        <v>-0.26059607035812227</v>
      </c>
      <c r="AG14" s="118">
        <f>-Constants!$B$25/AE14</f>
        <v>0.1196514967930668</v>
      </c>
    </row>
    <row r="15" spans="1:49">
      <c r="A15" s="314">
        <f>Masses!C18</f>
        <v>5.5</v>
      </c>
      <c r="B15" s="314">
        <f>Concentrations!O15</f>
        <v>2.2843685594316989</v>
      </c>
      <c r="C15" s="314">
        <f>LN('C0 CA'!$B$13/Concentrations!G15)/Constants!$B$25</f>
        <v>8.6031965911309776</v>
      </c>
      <c r="D15" s="314">
        <f>SQRT(F15^2+G15^2+H15^2)/Constants!$B$25</f>
        <v>2.5056022709515147</v>
      </c>
      <c r="E15" s="338">
        <f>Constants!$B$15-CA!C15</f>
        <v>2012.9910884451922</v>
      </c>
      <c r="F15" s="314">
        <f>Constants!$B$26*C15</f>
        <v>1.4480635731207523E-3</v>
      </c>
      <c r="G15" s="314">
        <f>'C0 CA'!$C$13/'C0 CA'!$B$13</f>
        <v>7.7415386135738881E-2</v>
      </c>
      <c r="H15" s="314">
        <f>Concentrations!H15/Concentrations!G15</f>
        <v>1.041654737687415E-2</v>
      </c>
      <c r="I15" s="314"/>
      <c r="J15" s="314"/>
      <c r="K15" s="314">
        <f>I16-I14</f>
        <v>1.6089969327867024</v>
      </c>
      <c r="L15" s="314">
        <f>SQRT(SUMSQ(J14,J16))</f>
        <v>2.5048149626736591</v>
      </c>
      <c r="M15" s="120">
        <f>(Masses!B19-Masses!B17)/K15</f>
        <v>0.62150522454262846</v>
      </c>
      <c r="N15" s="120">
        <f>M15*L15/K15</f>
        <v>0.96753172991946301</v>
      </c>
      <c r="O15" s="120">
        <f>(Masses!I19-Masses!I17)/K15</f>
        <v>0.18318744224671155</v>
      </c>
      <c r="P15" s="120">
        <f>O15*L15/K15</f>
        <v>0.28517807396858952</v>
      </c>
      <c r="Q15" s="24">
        <f>Masses!K18</f>
        <v>1.5205182124499999</v>
      </c>
    </row>
    <row r="16" spans="1:49">
      <c r="A16" s="314"/>
      <c r="B16" s="314"/>
      <c r="C16" s="314"/>
      <c r="D16" s="314"/>
      <c r="E16" s="338"/>
      <c r="F16" s="314"/>
      <c r="G16" s="314"/>
      <c r="H16" s="314"/>
      <c r="I16" s="314">
        <f>AVERAGE(C15,C17)</f>
        <v>8.8163481865929931</v>
      </c>
      <c r="J16" s="314">
        <f>SQRT(SUMSQ(D15,D17))/2</f>
        <v>1.7719559293005818</v>
      </c>
      <c r="K16" s="314"/>
      <c r="L16" s="314"/>
      <c r="M16" s="120"/>
      <c r="N16" s="120"/>
      <c r="O16" s="120"/>
      <c r="P16" s="120"/>
    </row>
    <row r="17" spans="1:24">
      <c r="A17" s="24">
        <f>Masses!C20</f>
        <v>6.5</v>
      </c>
      <c r="B17" s="24">
        <f>Concentrations!O17</f>
        <v>2.271076123315968</v>
      </c>
      <c r="C17" s="45">
        <f>LN('C0 CA'!$B$13/Concentrations!G17)/Constants!$B$25</f>
        <v>9.0294997820550087</v>
      </c>
      <c r="D17" s="45">
        <f>SQRT(F17^2+G17^2+H17^2)/Constants!$B$25</f>
        <v>2.5062459020089323</v>
      </c>
      <c r="E17" s="81">
        <f>Constants!$B$15-CA!C17</f>
        <v>2012.5647852542681</v>
      </c>
      <c r="F17" s="34">
        <f>Constants!$B$26*C17</f>
        <v>1.5198176142313109E-3</v>
      </c>
      <c r="G17" s="50">
        <f>'C0 CA'!$C$13/'C0 CA'!$B$13</f>
        <v>7.7415386135738881E-2</v>
      </c>
      <c r="H17" s="24">
        <f>Concentrations!H17/Concentrations!G17</f>
        <v>1.0555933141780199E-2</v>
      </c>
      <c r="K17" s="24">
        <f>I18-I16</f>
        <v>2.3303282200590907</v>
      </c>
      <c r="L17" s="24">
        <f>SQRT(SUMSQ(J16,J18))</f>
        <v>2.5079491048772065</v>
      </c>
      <c r="M17" s="120">
        <f>(Masses!B21-Masses!B19)/K17</f>
        <v>0.42912409994101292</v>
      </c>
      <c r="N17" s="120">
        <f>M17*L17/K17</f>
        <v>0.46183254061138662</v>
      </c>
      <c r="O17" s="120">
        <f>(Masses!I21-Masses!I19)/K17</f>
        <v>0.12406153983436254</v>
      </c>
      <c r="P17" s="120">
        <f>O17*L17/K17</f>
        <v>0.13351768437554593</v>
      </c>
      <c r="Q17" s="24">
        <f>Masses!K20</f>
        <v>1.81244428245</v>
      </c>
    </row>
    <row r="18" spans="1:24">
      <c r="E18" s="81"/>
      <c r="I18" s="24">
        <f>AVERAGE(C17,C19)</f>
        <v>11.146676406652084</v>
      </c>
      <c r="J18" s="24">
        <f>SQRT(SUMSQ(D17,D19))/2</f>
        <v>1.774818553337465</v>
      </c>
      <c r="K18" s="24"/>
      <c r="L18" s="24"/>
      <c r="M18" s="120"/>
      <c r="N18" s="120"/>
      <c r="O18" s="120"/>
      <c r="P18" s="120"/>
    </row>
    <row r="19" spans="1:24">
      <c r="A19" s="24">
        <f>Masses!C22</f>
        <v>7.5</v>
      </c>
      <c r="B19" s="24">
        <f>Concentrations!O19</f>
        <v>2.1390459831372111</v>
      </c>
      <c r="C19" s="45">
        <f>LN('C0 CA'!$B$13/Concentrations!G19)/Constants!$B$25</f>
        <v>13.263853031249157</v>
      </c>
      <c r="D19" s="45">
        <f>SQRT(F19^2+G19^2+H19^2)/Constants!$B$25</f>
        <v>2.5136935111001502</v>
      </c>
      <c r="E19" s="81">
        <f>Constants!$B$15-CA!C19</f>
        <v>2008.3304320050738</v>
      </c>
      <c r="F19" s="34">
        <f>Constants!$B$26*C19</f>
        <v>2.2325309215390408E-3</v>
      </c>
      <c r="G19" s="50">
        <f>'C0 CA'!$C$13/'C0 CA'!$B$13</f>
        <v>7.7415386135738881E-2</v>
      </c>
      <c r="H19" s="24">
        <f>Concentrations!H19/Concentrations!G19</f>
        <v>1.204582695726405E-2</v>
      </c>
      <c r="K19" s="24">
        <f>I20-I18</f>
        <v>7.4060030480205015</v>
      </c>
      <c r="L19" s="24">
        <f>SQRT(SUMSQ(J18,J20))</f>
        <v>2.5193292553606805</v>
      </c>
      <c r="M19" s="120">
        <f>(Masses!B23-Masses!B21)/K19</f>
        <v>0.1350255993031603</v>
      </c>
      <c r="N19" s="120">
        <f>M19*L19/K19</f>
        <v>4.5932190459735657E-2</v>
      </c>
      <c r="O19" s="120">
        <f>(Masses!I23-Masses!I21)/K19</f>
        <v>3.817413035977154E-2</v>
      </c>
      <c r="P19" s="120">
        <f>O19*L19/K19</f>
        <v>1.2985844427788919E-2</v>
      </c>
      <c r="Q19" s="24">
        <f>Masses!K22</f>
        <v>2.0983551990000002</v>
      </c>
    </row>
    <row r="20" spans="1:24">
      <c r="E20" s="81"/>
      <c r="I20" s="24">
        <f>AVERAGE(C19,C21)</f>
        <v>18.552679454672585</v>
      </c>
      <c r="J20" s="24">
        <f>SQRT(SUMSQ(D19,D21))/2</f>
        <v>1.7880265656989858</v>
      </c>
      <c r="K20" s="24"/>
      <c r="L20" s="24"/>
      <c r="M20" s="120"/>
      <c r="N20" s="120"/>
      <c r="O20" s="120"/>
      <c r="P20" s="120"/>
    </row>
    <row r="21" spans="1:24">
      <c r="A21" s="24">
        <f>Masses!C24</f>
        <v>8.5</v>
      </c>
      <c r="B21" s="24">
        <f>Concentrations!O21</f>
        <v>1.8092272585427991</v>
      </c>
      <c r="C21" s="45">
        <f>LN('C0 CA'!$B$13/Concentrations!G21)/Constants!$B$25</f>
        <v>23.841505878096015</v>
      </c>
      <c r="D21" s="45">
        <f>SQRT(F21^2+G21^2+H21^2)/Constants!$B$25</f>
        <v>2.5435213643361121</v>
      </c>
      <c r="E21" s="81">
        <f>Constants!$B$15-CA!C21</f>
        <v>1997.752779158227</v>
      </c>
      <c r="F21" s="34">
        <f>Constants!$B$26*C21</f>
        <v>4.0129288950581333E-3</v>
      </c>
      <c r="G21" s="50">
        <f>'C0 CA'!$C$13/'C0 CA'!$B$13</f>
        <v>7.7415386135738881E-2</v>
      </c>
      <c r="H21" s="24">
        <f>Concentrations!H21/Concentrations!G21</f>
        <v>1.6752325881968663E-2</v>
      </c>
      <c r="K21" s="24">
        <f>I22-I20</f>
        <v>5.1711957798474586</v>
      </c>
      <c r="L21" s="24">
        <f>SQRT(SUMSQ(J20,J22))</f>
        <v>2.535874040368217</v>
      </c>
      <c r="M21" s="120">
        <f>(Masses!B25-Masses!B23)/K21</f>
        <v>0.19337887068539847</v>
      </c>
      <c r="N21" s="120">
        <f>M21*L21/K21</f>
        <v>9.4829992714236366E-2</v>
      </c>
      <c r="O21" s="120">
        <f>(Masses!I25-Masses!I23)/K21</f>
        <v>5.4825964065194056E-2</v>
      </c>
      <c r="P21" s="120">
        <f>O21*L21/K21</f>
        <v>2.688580067939093E-2</v>
      </c>
      <c r="Q21" s="24">
        <f>Masses!K24</f>
        <v>2.3814719588999997</v>
      </c>
    </row>
    <row r="22" spans="1:24">
      <c r="E22" s="81"/>
      <c r="I22" s="24">
        <f>AVERAGE(C21,C23)</f>
        <v>23.723875234520044</v>
      </c>
      <c r="J22" s="24">
        <f>SQRT(SUMSQ(D21,D23))/2</f>
        <v>1.7982263897986026</v>
      </c>
      <c r="K22" s="24"/>
      <c r="L22" s="24"/>
      <c r="M22" s="120"/>
      <c r="N22" s="120"/>
      <c r="O22" s="120"/>
      <c r="P22" s="120"/>
    </row>
    <row r="23" spans="1:24">
      <c r="A23" s="24">
        <f>Masses!C26</f>
        <v>9.5</v>
      </c>
      <c r="B23" s="24">
        <f>Concentrations!O23</f>
        <v>1.8165628724827125</v>
      </c>
      <c r="C23" s="45">
        <f>LN('C0 CA'!$B$13/Concentrations!G23)/Constants!$B$25</f>
        <v>23.606244590944069</v>
      </c>
      <c r="D23" s="45">
        <f>SQRT(F23^2+G23^2+H23^2)/Constants!$B$25</f>
        <v>2.5426308550472339</v>
      </c>
      <c r="E23" s="81">
        <f>Constants!$B$15-CA!C23</f>
        <v>1997.9880404453791</v>
      </c>
      <c r="F23" s="34">
        <f>Constants!$B$26*C23</f>
        <v>3.9733304392421363E-3</v>
      </c>
      <c r="G23" s="50">
        <f>'C0 CA'!$C$13/'C0 CA'!$B$13</f>
        <v>7.7415386135738881E-2</v>
      </c>
      <c r="H23" s="24">
        <f>Concentrations!H23/Concentrations!G23</f>
        <v>1.6629887182575066E-2</v>
      </c>
      <c r="K23" s="24">
        <f>I24-I22</f>
        <v>0.94258275979169781</v>
      </c>
      <c r="L23" s="24">
        <f>SQRT(SUMSQ(J22,J24))</f>
        <v>2.5449792770083475</v>
      </c>
      <c r="M23" s="120">
        <f>(Masses!B27-Masses!B25)/K23</f>
        <v>1.0609147999067912</v>
      </c>
      <c r="N23" s="120">
        <f>M23*L23/K23</f>
        <v>2.8644765166624921</v>
      </c>
      <c r="O23" s="120">
        <f>(Masses!I27-Masses!I25)/K23</f>
        <v>0.2800963618922383</v>
      </c>
      <c r="P23" s="120">
        <f>O23*L23/K23</f>
        <v>0.75626190822618922</v>
      </c>
      <c r="Q23" s="24">
        <f>Masses!K26</f>
        <v>2.6552368568000002</v>
      </c>
    </row>
    <row r="24" spans="1:24">
      <c r="E24" s="81"/>
      <c r="I24" s="24">
        <f>AVERAGE(C23,C25)</f>
        <v>24.666457994311742</v>
      </c>
      <c r="J24" s="24">
        <f>SQRT(SUMSQ(D23,D25))/2</f>
        <v>1.800916814134905</v>
      </c>
      <c r="K24" s="24"/>
      <c r="L24" s="24"/>
      <c r="M24" s="120"/>
      <c r="N24" s="120"/>
      <c r="O24" s="120"/>
      <c r="P24" s="120"/>
    </row>
    <row r="25" spans="1:24">
      <c r="A25" s="24">
        <f>Masses!C28</f>
        <v>10.5</v>
      </c>
      <c r="B25" s="24">
        <f>Concentrations!O25</f>
        <v>1.7504464594070341</v>
      </c>
      <c r="C25" s="45">
        <f>LN('C0 CA'!$B$13/Concentrations!G25)/Constants!$B$25</f>
        <v>25.726671397679411</v>
      </c>
      <c r="D25" s="45">
        <f>SQRT(F25^2+G25^2+H25^2)/Constants!$B$25</f>
        <v>2.5511240308336709</v>
      </c>
      <c r="E25" s="81">
        <f>Constants!$B$15-CA!C25</f>
        <v>1995.8676136386437</v>
      </c>
      <c r="F25" s="34">
        <f>Constants!$B$26*C25</f>
        <v>4.3302341535507915E-3</v>
      </c>
      <c r="G25" s="50">
        <f>'C0 CA'!$C$13/'C0 CA'!$B$13</f>
        <v>7.7415386135738881E-2</v>
      </c>
      <c r="H25" s="24">
        <f>Concentrations!H25/Concentrations!G25</f>
        <v>1.7766559282716539E-2</v>
      </c>
      <c r="K25" s="24">
        <f>I26-I24</f>
        <v>4.9746779863410175</v>
      </c>
      <c r="L25" s="24">
        <f>SQRT(SUMSQ(J24,J26))</f>
        <v>2.5596653791272601</v>
      </c>
      <c r="M25" s="120">
        <f>(Masses!B29-Masses!B27)/K25</f>
        <v>0.20101803629213827</v>
      </c>
      <c r="N25" s="120">
        <f>M25*L25/K25</f>
        <v>0.10343160089756641</v>
      </c>
      <c r="O25" s="120">
        <f>(Masses!I29-Masses!I27)/K25</f>
        <v>5.4115770294914815E-2</v>
      </c>
      <c r="P25" s="120">
        <f>O25*L25/K25</f>
        <v>2.7844669357298443E-2</v>
      </c>
      <c r="Q25" s="24">
        <f>Masses!K28</f>
        <v>2.9218481233000002</v>
      </c>
    </row>
    <row r="26" spans="1:24">
      <c r="E26" s="81"/>
      <c r="I26" s="24">
        <f>AVERAGE(C25,C27)</f>
        <v>29.641135980652759</v>
      </c>
      <c r="J26" s="24">
        <f>SQRT(SUMSQ(D25,D27))/2</f>
        <v>1.818951753529731</v>
      </c>
      <c r="K26" s="24"/>
      <c r="L26" s="24"/>
      <c r="M26" s="120"/>
      <c r="N26" s="120"/>
      <c r="O26" s="120"/>
      <c r="P26" s="120"/>
    </row>
    <row r="27" spans="1:24">
      <c r="A27" s="24">
        <f>Masses!C30</f>
        <v>11.5</v>
      </c>
      <c r="B27" s="24">
        <f>Concentrations!O27</f>
        <v>1.5063348904380969</v>
      </c>
      <c r="C27" s="45">
        <f>LN('C0 CA'!$B$13/Concentrations!G27)/Constants!$B$25</f>
        <v>33.555600563626108</v>
      </c>
      <c r="D27" s="45">
        <f>SQRT(F27^2+G27^2+H27^2)/Constants!$B$25</f>
        <v>2.5934741382898916</v>
      </c>
      <c r="E27" s="81">
        <f>Constants!$B$15-CA!C27</f>
        <v>1988.038684472697</v>
      </c>
      <c r="F27" s="34">
        <f>Constants!$B$26*C27</f>
        <v>5.6479754165410069E-3</v>
      </c>
      <c r="G27" s="50">
        <f>'C0 CA'!$C$13/'C0 CA'!$B$13</f>
        <v>7.7415386135738881E-2</v>
      </c>
      <c r="H27" s="24">
        <f>Concentrations!H27/Concentrations!G27</f>
        <v>2.267878523027397E-2</v>
      </c>
      <c r="K27" s="24">
        <f>I28-I26</f>
        <v>4.0827224352013296</v>
      </c>
      <c r="L27" s="24">
        <f>SQRT(SUMSQ(J26,J28))</f>
        <v>2.5835265996096095</v>
      </c>
      <c r="M27" s="120">
        <f>(Masses!B31-Masses!B29)/K27</f>
        <v>0.24493460328774161</v>
      </c>
      <c r="N27" s="120">
        <f>M27*L27/K27</f>
        <v>0.15499340765924563</v>
      </c>
      <c r="O27" s="120">
        <f>(Masses!I31-Masses!I29)/K27</f>
        <v>6.2008375469569693E-2</v>
      </c>
      <c r="P27" s="120">
        <f>O27*L27/K27</f>
        <v>3.9238593846831864E-2</v>
      </c>
      <c r="Q27" s="24">
        <f>Masses!K30</f>
        <v>3.1830338817500001</v>
      </c>
    </row>
    <row r="28" spans="1:24">
      <c r="E28" s="81"/>
      <c r="I28" s="24">
        <f>AVERAGE(C27,C29)</f>
        <v>33.723858415854089</v>
      </c>
      <c r="J28" s="24">
        <f>SQRT(SUMSQ(D27,D29))/2</f>
        <v>1.8346727798769749</v>
      </c>
      <c r="K28" s="24"/>
      <c r="L28" s="24"/>
      <c r="M28" s="120"/>
      <c r="N28" s="120"/>
      <c r="O28" s="120"/>
      <c r="P28" s="120"/>
    </row>
    <row r="29" spans="1:24">
      <c r="A29" s="24">
        <f>Masses!C32</f>
        <v>12.5</v>
      </c>
      <c r="B29" s="24">
        <f>Concentrations!O29</f>
        <v>1.4958420918884883</v>
      </c>
      <c r="C29" s="45">
        <f>LN('C0 CA'!$B$13/Concentrations!G29)/Constants!$B$25</f>
        <v>33.89211626808207</v>
      </c>
      <c r="D29" s="45">
        <f>SQRT(F29^2+G29^2+H29^2)/Constants!$B$25</f>
        <v>2.5957636122936019</v>
      </c>
      <c r="E29" s="81">
        <f>Constants!$B$15-CA!C29</f>
        <v>1987.7021687682411</v>
      </c>
      <c r="F29" s="34">
        <f>Constants!$B$26*C29</f>
        <v>5.7046167042581909E-3</v>
      </c>
      <c r="G29" s="50">
        <f>'C0 CA'!$C$13/'C0 CA'!$B$13</f>
        <v>7.7415386135738881E-2</v>
      </c>
      <c r="H29" s="24">
        <f>Concentrations!H29/Concentrations!G29</f>
        <v>2.2918007183958283E-2</v>
      </c>
      <c r="K29" s="24">
        <f>I30-I28</f>
        <v>-2.1709873637459864</v>
      </c>
      <c r="L29" s="24">
        <f>SQRT(SUMSQ(J28,J30))</f>
        <v>2.5881829877559297</v>
      </c>
      <c r="M29" s="120">
        <f>(Masses!B33-Masses!B31)/K29</f>
        <v>-0.46061990811154424</v>
      </c>
      <c r="N29" s="120">
        <f>M29*L29/K29</f>
        <v>0.54913659558982419</v>
      </c>
      <c r="O29" s="120">
        <f>(Masses!I33-Masses!I31)/K29</f>
        <v>-0.12404925049186517</v>
      </c>
      <c r="P29" s="120">
        <f>O29*L29/K29</f>
        <v>0.14788762252993232</v>
      </c>
      <c r="Q29" s="24">
        <f>Masses!K32</f>
        <v>3.4442700522499998</v>
      </c>
    </row>
    <row r="30" spans="1:24">
      <c r="E30" s="81"/>
      <c r="I30" s="24">
        <f>AVERAGE(C29,C31)</f>
        <v>31.552871052108102</v>
      </c>
      <c r="J30" s="24">
        <f>SQRT(SUMSQ(D29,D31))/2</f>
        <v>1.8255593578100124</v>
      </c>
      <c r="K30" s="24"/>
      <c r="L30" s="24"/>
      <c r="M30" s="120"/>
      <c r="N30" s="120"/>
      <c r="O30" s="120"/>
      <c r="P30" s="120"/>
      <c r="S30" s="23"/>
    </row>
    <row r="31" spans="1:24">
      <c r="A31" s="24">
        <f>Masses!C34</f>
        <v>13.5</v>
      </c>
      <c r="B31" s="24">
        <f>Concentrations!O31</f>
        <v>1.6417207447081639</v>
      </c>
      <c r="C31" s="45">
        <f>LN('C0 CA'!$B$13/Concentrations!G31)/Constants!$B$25</f>
        <v>29.213625836134138</v>
      </c>
      <c r="D31" s="45">
        <f>SQRT(F31^2+G31^2+H31^2)/Constants!$B$25</f>
        <v>2.5676213008625886</v>
      </c>
      <c r="E31" s="81">
        <f>Constants!$B$15-CA!C31</f>
        <v>1992.380659200189</v>
      </c>
      <c r="F31" s="34">
        <f>Constants!$B$26*C31</f>
        <v>4.917147593220806E-3</v>
      </c>
      <c r="G31" s="50">
        <f>'C0 CA'!$C$13/'C0 CA'!$B$13</f>
        <v>7.7415386135738881E-2</v>
      </c>
      <c r="H31" s="24">
        <f>Concentrations!H31/Concentrations!G31</f>
        <v>1.9807171845932059E-2</v>
      </c>
      <c r="K31" s="24">
        <f>I32-I30</f>
        <v>-3.0164961191074724</v>
      </c>
      <c r="L31" s="24">
        <f>SQRT(SUMSQ(J30,J32))</f>
        <v>2.5729889270693551</v>
      </c>
      <c r="M31" s="120">
        <f>(Masses!B35-Masses!B33)/K31</f>
        <v>-0.33151045468471618</v>
      </c>
      <c r="N31" s="120">
        <f>M31*L31/K31</f>
        <v>0.28276937726141727</v>
      </c>
      <c r="O31" s="120">
        <f>(Masses!I35-Masses!I33)/K31</f>
        <v>-8.9390783429810508E-2</v>
      </c>
      <c r="P31" s="120">
        <f>O31*L31/K31</f>
        <v>7.6247900499540708E-2</v>
      </c>
      <c r="Q31" s="24">
        <f>Masses!K34</f>
        <v>3.71374820555</v>
      </c>
    </row>
    <row r="32" spans="1:24" ht="14" customHeight="1">
      <c r="E32" s="81"/>
      <c r="I32" s="24">
        <f>AVERAGE(C31,C33)</f>
        <v>28.53637493300063</v>
      </c>
      <c r="J32" s="24">
        <f>SQRT(SUMSQ(D31,D33))/2</f>
        <v>1.8131754051756288</v>
      </c>
      <c r="K32" s="24"/>
      <c r="L32" s="24"/>
      <c r="M32" s="120"/>
      <c r="N32" s="120"/>
      <c r="O32" s="120"/>
      <c r="P32" s="120"/>
      <c r="R32" s="94"/>
      <c r="S32" s="97"/>
      <c r="T32" s="95"/>
      <c r="U32" s="95"/>
      <c r="V32" s="96"/>
      <c r="W32" s="96"/>
      <c r="X32" s="96"/>
    </row>
    <row r="33" spans="1:50">
      <c r="A33" s="24">
        <f>Masses!C36</f>
        <v>14.5</v>
      </c>
      <c r="B33" s="24">
        <f>Concentrations!O33</f>
        <v>1.683955072556897</v>
      </c>
      <c r="C33" s="45">
        <f>LN('C0 CA'!$B$13/Concentrations!G33)/Constants!$B$25</f>
        <v>27.859124029867125</v>
      </c>
      <c r="D33" s="45">
        <f>SQRT(F33^2+G33^2+H33^2)/Constants!$B$25</f>
        <v>2.5608086720979237</v>
      </c>
      <c r="E33" s="81">
        <f>Constants!$B$15-CA!C33</f>
        <v>1993.7351610064559</v>
      </c>
      <c r="F33" s="34">
        <f>Constants!$B$26*C33</f>
        <v>4.6891620177890491E-3</v>
      </c>
      <c r="G33" s="50">
        <f>'C0 CA'!$C$13/'C0 CA'!$B$13</f>
        <v>7.7415386135738881E-2</v>
      </c>
      <c r="H33" s="24">
        <f>Concentrations!H33/Concentrations!G33</f>
        <v>1.8988050578520137E-2</v>
      </c>
      <c r="K33" s="24">
        <f>I34-I32</f>
        <v>0.49541732497930724</v>
      </c>
      <c r="L33" s="24">
        <f>SQRT(SUMSQ(J32,J34))</f>
        <v>2.5655543476046891</v>
      </c>
      <c r="M33" s="120">
        <f>(Masses!B37-Masses!B35)/K33</f>
        <v>2.0185002614548622</v>
      </c>
      <c r="N33" s="120">
        <f>M33*L33/K33</f>
        <v>10.452949181042516</v>
      </c>
      <c r="O33" s="120">
        <f>(Masses!I37-Masses!I35)/K33</f>
        <v>0.55420338723815965</v>
      </c>
      <c r="P33" s="120">
        <f>O33*L33/K33</f>
        <v>2.86998221074625</v>
      </c>
      <c r="Q33" s="24">
        <f>Masses!K36</f>
        <v>3.985852661</v>
      </c>
      <c r="R33" s="11"/>
      <c r="S33" s="98"/>
    </row>
    <row r="34" spans="1:50" s="49" customFormat="1">
      <c r="A34" s="24"/>
      <c r="B34" s="24"/>
      <c r="C34" s="24"/>
      <c r="D34" s="24"/>
      <c r="E34" s="24"/>
      <c r="F34" s="24"/>
      <c r="G34" s="24"/>
      <c r="H34" s="24"/>
      <c r="I34" s="24">
        <f t="shared" ref="I34" si="0">AVERAGE(C33,C35)</f>
        <v>29.031792257979937</v>
      </c>
      <c r="J34" s="24">
        <f t="shared" ref="J34" si="1">SQRT(SUMSQ(D33,D35))/2</f>
        <v>1.8150658557141985</v>
      </c>
      <c r="K34" s="24"/>
      <c r="L34" s="24"/>
      <c r="M34" s="24"/>
      <c r="N34" s="24"/>
      <c r="O34" s="24"/>
      <c r="P34" s="24"/>
      <c r="Q34" s="24"/>
      <c r="S34" s="100"/>
      <c r="AD34" s="33"/>
      <c r="AE34" s="139"/>
      <c r="AF34" s="140"/>
      <c r="AG34" s="141"/>
      <c r="AU34" s="33"/>
      <c r="AV34" s="33"/>
      <c r="AW34" s="33"/>
      <c r="AX34" s="33"/>
    </row>
    <row r="35" spans="1:50">
      <c r="A35" s="24">
        <f>Masses!C38</f>
        <v>15.5</v>
      </c>
      <c r="B35" s="24">
        <f>Concentrations!O35</f>
        <v>1.6108258169519825</v>
      </c>
      <c r="C35" s="45">
        <f>LN('C0 CA'!$B$13/Concentrations!G35)/Constants!$B$25</f>
        <v>30.204460486092753</v>
      </c>
      <c r="D35" s="45">
        <f>SQRT(F35^2+G35^2+H35^2)/Constants!$B$25</f>
        <v>2.5729584503497396</v>
      </c>
      <c r="E35" s="81">
        <f>Constants!$B$15-CA!C35</f>
        <v>1991.3898245502303</v>
      </c>
      <c r="F35" s="34">
        <f>Constants!$B$26*C35</f>
        <v>5.0839218321205703E-3</v>
      </c>
      <c r="G35" s="50">
        <f>'C0 CA'!$C$13/'C0 CA'!$B$13</f>
        <v>7.7415386135738881E-2</v>
      </c>
      <c r="H35" s="24">
        <f>Concentrations!H35/Concentrations!G35</f>
        <v>2.0428667661597288E-2</v>
      </c>
      <c r="K35" s="24">
        <f t="shared" ref="K35" si="2">I36-I34</f>
        <v>3.6063631986921436</v>
      </c>
      <c r="L35" s="24">
        <f t="shared" ref="L35" si="3">SQRT(SUMSQ(J34,J36))</f>
        <v>2.5777691119983617</v>
      </c>
      <c r="M35" s="120">
        <f>(Masses!B39-Masses!B37)/K35</f>
        <v>0.27728765654070903</v>
      </c>
      <c r="N35" s="120">
        <f t="shared" ref="N35" si="4">M35*L35/K35</f>
        <v>0.19820065722395022</v>
      </c>
      <c r="O35" s="120">
        <f>(Masses!I39-Masses!I37)/K35</f>
        <v>7.4150431187013671E-2</v>
      </c>
      <c r="P35" s="120">
        <f t="shared" ref="P35" si="5">O35*L35/K35</f>
        <v>5.3001508895322083E-2</v>
      </c>
      <c r="Q35" s="24">
        <f>Masses!K38</f>
        <v>4.2568403338999996</v>
      </c>
      <c r="AE35" s="142" t="s">
        <v>119</v>
      </c>
      <c r="AG35" s="143" t="s">
        <v>120</v>
      </c>
    </row>
    <row r="36" spans="1:50">
      <c r="C36" s="24"/>
      <c r="D36" s="24"/>
      <c r="F36" s="24"/>
      <c r="G36" s="24"/>
      <c r="I36" s="24">
        <f t="shared" ref="I36" si="6">AVERAGE(C35,C37)</f>
        <v>32.638155456672081</v>
      </c>
      <c r="J36" s="24">
        <f t="shared" ref="J36" si="7">SQRT(SUMSQ(D35,D37))/2</f>
        <v>1.8304178578109718</v>
      </c>
      <c r="K36" s="24"/>
      <c r="L36" s="24"/>
      <c r="M36" s="24"/>
      <c r="N36" s="24"/>
      <c r="O36" s="24"/>
      <c r="P36" s="24"/>
      <c r="Q36" s="24"/>
      <c r="AE36" s="144" t="s">
        <v>117</v>
      </c>
      <c r="AG36" s="143" t="s">
        <v>121</v>
      </c>
    </row>
    <row r="37" spans="1:50" ht="28" customHeight="1">
      <c r="A37" s="24">
        <f>Masses!C40</f>
        <v>16.5</v>
      </c>
      <c r="B37" s="24">
        <f>Concentrations!O37</f>
        <v>1.4590571433397486</v>
      </c>
      <c r="C37" s="45">
        <f>LN('C0 CA'!$B$13/Concentrations!G37)/Constants!$B$25</f>
        <v>35.071850427251412</v>
      </c>
      <c r="D37" s="45">
        <f>SQRT(F37^2+G37^2+H37^2)/Constants!$B$25</f>
        <v>2.6041510995998469</v>
      </c>
      <c r="E37" s="81">
        <f>Constants!$B$15-CA!C37</f>
        <v>1986.5224346090718</v>
      </c>
      <c r="F37" s="34">
        <f>Constants!$B$26*C37</f>
        <v>5.9031859271933586E-3</v>
      </c>
      <c r="G37" s="50">
        <f>'C0 CA'!$C$13/'C0 CA'!$B$13</f>
        <v>7.7415386135738881E-2</v>
      </c>
      <c r="H37" s="24">
        <f>Concentrations!H37/Concentrations!G37</f>
        <v>2.3776741651479735E-2</v>
      </c>
      <c r="K37" s="24">
        <f t="shared" ref="K37" si="8">I38-I36</f>
        <v>6.0181289189338187</v>
      </c>
      <c r="L37" s="24">
        <f t="shared" ref="L37" si="9">SQRT(SUMSQ(J36,J38))</f>
        <v>2.6128939853040998</v>
      </c>
      <c r="M37" s="120">
        <f>(Masses!B41-Masses!B39)/K37</f>
        <v>0.16616460256507126</v>
      </c>
      <c r="N37" s="120">
        <f t="shared" ref="N37" si="10">M37*L37/K37</f>
        <v>7.2143767018144775E-2</v>
      </c>
      <c r="O37" s="120">
        <f>(Masses!I41-Masses!I39)/K37</f>
        <v>4.4894244164491177E-2</v>
      </c>
      <c r="P37" s="120">
        <f t="shared" ref="P37" si="11">O37*L37/K37</f>
        <v>1.9491756014584416E-2</v>
      </c>
      <c r="Q37" s="24">
        <f>Masses!K40</f>
        <v>4.5256367015500008</v>
      </c>
      <c r="AB37" s="103"/>
      <c r="AE37" s="148">
        <f>SLOPE(B5:B43,A5:A43)</f>
        <v>-7.1799752969821926E-2</v>
      </c>
      <c r="AF37" s="145"/>
      <c r="AG37" s="146">
        <f>-Constants!$B$25/AE37</f>
        <v>0.43427321943358504</v>
      </c>
    </row>
    <row r="38" spans="1:50">
      <c r="C38" s="24"/>
      <c r="D38" s="24"/>
      <c r="F38" s="24"/>
      <c r="G38" s="24"/>
      <c r="I38" s="24">
        <f t="shared" ref="I38" si="12">AVERAGE(C37,C39)</f>
        <v>38.6562843756059</v>
      </c>
      <c r="J38" s="24">
        <f t="shared" ref="J38" si="13">SQRT(SUMSQ(D37,D39))/2</f>
        <v>1.86461402017818</v>
      </c>
      <c r="K38" s="24"/>
      <c r="L38" s="24"/>
      <c r="M38" s="24"/>
      <c r="N38" s="24"/>
      <c r="O38" s="24"/>
      <c r="P38" s="24"/>
      <c r="Q38" s="24"/>
    </row>
    <row r="39" spans="1:50" ht="13" customHeight="1">
      <c r="A39" s="24">
        <f>Masses!C42</f>
        <v>17.5</v>
      </c>
      <c r="B39" s="24">
        <f>Concentrations!O39</f>
        <v>1.2355267533077858</v>
      </c>
      <c r="C39" s="45">
        <f>LN('C0 CA'!$B$13/Concentrations!G39)/Constants!$B$25</f>
        <v>42.240718323960387</v>
      </c>
      <c r="D39" s="45">
        <f>SQRT(F39^2+G39^2+H39^2)/Constants!$B$25</f>
        <v>2.6693704927253998</v>
      </c>
      <c r="E39" s="81">
        <f>Constants!$B$15-CA!C39</f>
        <v>1979.3535667123626</v>
      </c>
      <c r="F39" s="34">
        <f>Constants!$B$26*C39</f>
        <v>7.1098277087424146E-3</v>
      </c>
      <c r="G39" s="50">
        <f>'C0 CA'!$C$13/'C0 CA'!$B$13</f>
        <v>7.7415386135738881E-2</v>
      </c>
      <c r="H39" s="24">
        <f>Concentrations!H39/Concentrations!G39</f>
        <v>2.973244809411598E-2</v>
      </c>
      <c r="K39" s="24">
        <f t="shared" ref="K39" si="14">I40-I38</f>
        <v>4.1851462308621521</v>
      </c>
      <c r="L39" s="24">
        <f t="shared" ref="L39" si="15">SQRT(SUMSQ(J38,J40))</f>
        <v>2.6566878225413673</v>
      </c>
      <c r="M39" s="120">
        <f>(Masses!B43-Masses!B41)/K39</f>
        <v>0.23894027707461901</v>
      </c>
      <c r="N39" s="120">
        <f t="shared" ref="N39" si="16">M39*L39/K39</f>
        <v>0.15167683263674925</v>
      </c>
      <c r="O39" s="120">
        <f>(Masses!I43-Masses!I41)/K39</f>
        <v>6.485935645409488E-2</v>
      </c>
      <c r="P39" s="120">
        <f t="shared" ref="P39" si="17">O39*L39/K39</f>
        <v>4.1172053009475643E-2</v>
      </c>
      <c r="Q39" s="24">
        <f>Masses!K42</f>
        <v>4.7964493217000008</v>
      </c>
      <c r="AI39" s="119" t="s">
        <v>122</v>
      </c>
      <c r="AJ39" s="119" t="s">
        <v>123</v>
      </c>
      <c r="AK39" s="119"/>
    </row>
    <row r="40" spans="1:50">
      <c r="C40" s="24"/>
      <c r="D40" s="24"/>
      <c r="F40" s="24"/>
      <c r="G40" s="24"/>
      <c r="I40" s="24">
        <f t="shared" ref="I40" si="18">AVERAGE(C39,C41)</f>
        <v>42.841430606468052</v>
      </c>
      <c r="J40" s="24">
        <f t="shared" ref="J40" si="19">SQRT(SUMSQ(D39,D41))/2</f>
        <v>1.892407129080462</v>
      </c>
      <c r="K40" s="24"/>
      <c r="L40" s="24"/>
      <c r="M40" s="24"/>
      <c r="N40" s="24"/>
      <c r="O40" s="24"/>
      <c r="P40" s="24"/>
      <c r="Q40" s="24"/>
    </row>
    <row r="41" spans="1:50">
      <c r="A41" s="24">
        <f>Masses!C44</f>
        <v>18.5</v>
      </c>
      <c r="B41" s="24">
        <f>Concentrations!O41</f>
        <v>1.1980654825072536</v>
      </c>
      <c r="C41" s="45">
        <f>LN('C0 CA'!$B$13/Concentrations!G41)/Constants!$B$25</f>
        <v>43.44214288897571</v>
      </c>
      <c r="D41" s="45">
        <f>SQRT(F41^2+G41^2+H41^2)/Constants!$B$25</f>
        <v>2.6831474319062645</v>
      </c>
      <c r="E41" s="81">
        <f>Constants!$B$15-CA!C41</f>
        <v>1978.1521421473474</v>
      </c>
      <c r="F41" s="34">
        <f>Constants!$B$26*C41</f>
        <v>7.3120477940354358E-3</v>
      </c>
      <c r="G41" s="50">
        <f>'C0 CA'!$C$13/'C0 CA'!$B$13</f>
        <v>7.7415386135738881E-2</v>
      </c>
      <c r="H41" s="24">
        <f>Concentrations!H41/Concentrations!G41</f>
        <v>3.0867395195217057E-2</v>
      </c>
      <c r="K41" s="24">
        <f t="shared" ref="K41" si="20">I42-I40</f>
        <v>0.80695933463798042</v>
      </c>
      <c r="L41" s="24">
        <f t="shared" ref="L41" si="21">SQRT(SUMSQ(J40,J42))</f>
        <v>2.6809496953199221</v>
      </c>
      <c r="M41" s="120">
        <f>(Masses!B45-Masses!B43)/K41</f>
        <v>1.2392198182435326</v>
      </c>
      <c r="N41" s="120">
        <f t="shared" ref="N41" si="22">M41*L41/K41</f>
        <v>4.1170426458290592</v>
      </c>
      <c r="O41" s="120">
        <f>(Masses!I45-Masses!I43)/K41</f>
        <v>0.33696854293406192</v>
      </c>
      <c r="P41" s="120">
        <f t="shared" ref="P41" si="23">O41*L41/K41</f>
        <v>1.1195058706604522</v>
      </c>
      <c r="Q41" s="24">
        <f>Masses!K44</f>
        <v>5.068132222900001</v>
      </c>
    </row>
    <row r="42" spans="1:50">
      <c r="C42" s="24"/>
      <c r="D42" s="24"/>
      <c r="F42" s="24"/>
      <c r="G42" s="24"/>
      <c r="I42" s="24">
        <f t="shared" ref="I42" si="24">AVERAGE(C41,C43)</f>
        <v>43.648389941106032</v>
      </c>
      <c r="J42" s="24">
        <f t="shared" ref="J42" si="25">SQRT(SUMSQ(D41,D43))/2</f>
        <v>1.899022518729419</v>
      </c>
      <c r="K42" s="24"/>
      <c r="L42" s="24"/>
      <c r="M42" s="24"/>
      <c r="N42" s="24"/>
      <c r="O42" s="24"/>
      <c r="P42" s="24"/>
      <c r="Q42" s="24"/>
    </row>
    <row r="43" spans="1:50">
      <c r="A43" s="24">
        <f>Masses!C46</f>
        <v>19.5</v>
      </c>
      <c r="B43" s="24">
        <f>Concentrations!O43</f>
        <v>1.1852036235164367</v>
      </c>
      <c r="C43" s="45">
        <f>LN('C0 CA'!$B$13/Concentrations!G43)/Constants!$B$25</f>
        <v>43.854636993236348</v>
      </c>
      <c r="D43" s="45">
        <f>SQRT(F43^2+G43^2+H43^2)/Constants!$B$25</f>
        <v>2.6880970899914538</v>
      </c>
      <c r="E43" s="81">
        <f>Constants!$B$15-CA!C43</f>
        <v>1977.7396480430866</v>
      </c>
      <c r="F43" s="34">
        <f>Constants!$B$26*C43</f>
        <v>7.3814775321774983E-3</v>
      </c>
      <c r="G43" s="50">
        <f>'C0 CA'!$C$13/'C0 CA'!$B$13</f>
        <v>7.7415386135738881E-2</v>
      </c>
      <c r="H43" s="24">
        <f>Concentrations!H43/Concentrations!G43</f>
        <v>3.1266973492066988E-2</v>
      </c>
      <c r="K43" s="24">
        <f t="shared" ref="K43" si="26">I44-I42</f>
        <v>5.382097046770042</v>
      </c>
      <c r="L43" s="24">
        <f t="shared" ref="L43" si="27">SQRT(SUMSQ(J42,J44))</f>
        <v>2.7303169979106849</v>
      </c>
      <c r="M43" s="120">
        <f>(Masses!B47-Masses!B45)/K43</f>
        <v>0.18580118331387763</v>
      </c>
      <c r="N43" s="120">
        <f t="shared" ref="N43" si="28">M43*L43/K43</f>
        <v>9.4256221065029441E-2</v>
      </c>
      <c r="O43" s="120">
        <f>(Masses!I47-Masses!I45)/K43</f>
        <v>4.9786882300981383E-2</v>
      </c>
      <c r="P43" s="120">
        <f t="shared" ref="P43" si="29">O43*L43/K43</f>
        <v>2.5256692667949224E-2</v>
      </c>
      <c r="Q43" s="24">
        <f>Masses!K46</f>
        <v>5.3380710946000001</v>
      </c>
    </row>
    <row r="44" spans="1:50">
      <c r="C44" s="24"/>
      <c r="D44" s="24"/>
      <c r="F44" s="24"/>
      <c r="G44" s="24"/>
      <c r="I44" s="24">
        <f t="shared" ref="I44" si="30">AVERAGE(C43,C45)</f>
        <v>49.030486987876074</v>
      </c>
      <c r="J44" s="24">
        <f t="shared" ref="J44" si="31">SQRT(SUMSQ(D43,D45))/2</f>
        <v>1.9617197512485287</v>
      </c>
      <c r="K44" s="24"/>
      <c r="L44" s="24"/>
      <c r="M44" s="24"/>
      <c r="N44" s="24"/>
      <c r="O44" s="24"/>
      <c r="P44" s="24"/>
      <c r="Q44" s="24"/>
    </row>
    <row r="45" spans="1:50">
      <c r="A45" s="24">
        <f>Masses!C48</f>
        <v>20.5</v>
      </c>
      <c r="B45" s="24">
        <f>Concentrations!O45</f>
        <v>0.86243026941965473</v>
      </c>
      <c r="C45" s="45">
        <f>LN('C0 CA'!$B$13/Concentrations!G45)/Constants!$B$25</f>
        <v>54.206336982515793</v>
      </c>
      <c r="D45" s="45">
        <f>SQRT(F45^2+G45^2+H45^2)/Constants!$B$25</f>
        <v>2.8578858557566349</v>
      </c>
      <c r="E45" s="81">
        <f>Constants!$B$15-CA!C45</f>
        <v>1967.3879480538073</v>
      </c>
      <c r="F45" s="34">
        <f>Constants!$B$26*C45</f>
        <v>9.1238438161007473E-3</v>
      </c>
      <c r="G45" s="50">
        <f>'C0 CA'!$C$13/'C0 CA'!$B$13</f>
        <v>7.7415386135738881E-2</v>
      </c>
      <c r="H45" s="24">
        <f>Concentrations!H45/Concentrations!G45</f>
        <v>4.3178324379686286E-2</v>
      </c>
      <c r="K45" s="24">
        <f t="shared" ref="K45" si="32">I46-I44</f>
        <v>5.785777314120736</v>
      </c>
      <c r="L45" s="24">
        <f t="shared" ref="L45" si="33">SQRT(SUMSQ(J44,J46))</f>
        <v>2.8232900855264975</v>
      </c>
      <c r="M45" s="120">
        <f>(Masses!B49-Masses!B47)/K45</f>
        <v>0.1728376233145727</v>
      </c>
      <c r="N45" s="120">
        <f t="shared" ref="N45" si="34">M45*L45/K45</f>
        <v>8.4339704384933351E-2</v>
      </c>
      <c r="O45" s="120">
        <f>(Masses!I49-Masses!I47)/K45</f>
        <v>5.6265615530256968E-2</v>
      </c>
      <c r="P45" s="120">
        <f t="shared" ref="P45" si="35">O45*L45/K45</f>
        <v>2.7455974514422055E-2</v>
      </c>
      <c r="Q45" s="24">
        <f>Masses!K48</f>
        <v>5.6348201716500004</v>
      </c>
    </row>
    <row r="46" spans="1:50">
      <c r="C46" s="24"/>
      <c r="D46" s="24"/>
      <c r="F46" s="24"/>
      <c r="G46" s="24"/>
      <c r="I46" s="24">
        <f t="shared" ref="I46" si="36">AVERAGE(C45,C47)</f>
        <v>54.81626430199681</v>
      </c>
      <c r="J46" s="24">
        <f t="shared" ref="J46" si="37">SQRT(SUMSQ(D45,D47))/2</f>
        <v>2.0304242228149341</v>
      </c>
      <c r="K46" s="24"/>
      <c r="L46" s="24"/>
      <c r="M46" s="24"/>
      <c r="N46" s="24"/>
      <c r="O46" s="24"/>
      <c r="P46" s="24"/>
      <c r="Q46" s="24"/>
    </row>
    <row r="47" spans="1:50">
      <c r="A47" s="24">
        <f>Masses!C50</f>
        <v>21.5</v>
      </c>
      <c r="B47" s="24">
        <f>Concentrations!O47</f>
        <v>0.82439433583038313</v>
      </c>
      <c r="C47" s="45">
        <f>LN('C0 CA'!$B$13/Concentrations!G47)/Constants!$B$25</f>
        <v>55.426191621477834</v>
      </c>
      <c r="D47" s="45">
        <f>SQRT(F47^2+G47^2+H47^2)/Constants!$B$25</f>
        <v>2.8849572845781752</v>
      </c>
      <c r="E47" s="81">
        <f>Constants!$B$15-CA!C47</f>
        <v>1966.1680934148453</v>
      </c>
      <c r="F47" s="34">
        <f>Constants!$B$26*C47</f>
        <v>9.3291659947202978E-3</v>
      </c>
      <c r="G47" s="50">
        <f>'C0 CA'!$C$13/'C0 CA'!$B$13</f>
        <v>7.7415386135738881E-2</v>
      </c>
      <c r="H47" s="24">
        <f>Concentrations!H47/Concentrations!G47</f>
        <v>4.4852308439463993E-2</v>
      </c>
      <c r="K47" s="24">
        <f t="shared" ref="K47" si="38">I48-I46</f>
        <v>-0.93389767625522779</v>
      </c>
      <c r="L47" s="24">
        <f t="shared" ref="L47" si="39">SQRT(SUMSQ(J46,J48))</f>
        <v>2.8620070398103477</v>
      </c>
      <c r="M47" s="120">
        <f>(Masses!B51-Masses!B49)/K47</f>
        <v>-1.0707811202720103</v>
      </c>
      <c r="N47" s="120">
        <f t="shared" ref="N47" si="40">M47*L47/K47</f>
        <v>3.2814977296045598</v>
      </c>
      <c r="O47" s="120">
        <f>(Masses!I51-Masses!I49)/K47</f>
        <v>-0.34952239490399134</v>
      </c>
      <c r="P47" s="120">
        <f t="shared" ref="P47" si="41">O47*L47/K47</f>
        <v>1.0711404260023136</v>
      </c>
      <c r="Q47" s="24">
        <f>Masses!K50</f>
        <v>5.9607994087999998</v>
      </c>
    </row>
    <row r="48" spans="1:50">
      <c r="C48" s="24"/>
      <c r="D48" s="24"/>
      <c r="F48" s="24"/>
      <c r="G48" s="24"/>
      <c r="I48" s="24">
        <f t="shared" ref="I48" si="42">AVERAGE(C47,C49)</f>
        <v>53.882366625741582</v>
      </c>
      <c r="J48" s="24">
        <f t="shared" ref="J48" si="43">SQRT(SUMSQ(D47,D49))/2</f>
        <v>2.0170428283331914</v>
      </c>
      <c r="K48" s="24"/>
      <c r="L48" s="24"/>
      <c r="M48" s="24"/>
      <c r="N48" s="24"/>
      <c r="O48" s="24"/>
      <c r="P48" s="24"/>
      <c r="Q48" s="24"/>
    </row>
    <row r="49" spans="1:17">
      <c r="A49" s="24">
        <f>Masses!C52</f>
        <v>22.5</v>
      </c>
      <c r="B49" s="24">
        <f>Concentrations!O49</f>
        <v>0.92066945441540804</v>
      </c>
      <c r="C49" s="45">
        <f>LN('C0 CA'!$B$13/Concentrations!G49)/Constants!$B$25</f>
        <v>52.338541630005331</v>
      </c>
      <c r="D49" s="45">
        <f>SQRT(F49^2+G49^2+H49^2)/Constants!$B$25</f>
        <v>2.8197284535005784</v>
      </c>
      <c r="E49" s="81">
        <f>Constants!$B$15-CA!C49</f>
        <v>1969.2557434063178</v>
      </c>
      <c r="F49" s="34">
        <f>Constants!$B$26*C49</f>
        <v>8.8094622506715795E-3</v>
      </c>
      <c r="G49" s="50">
        <f>'C0 CA'!$C$13/'C0 CA'!$B$13</f>
        <v>7.7415386135738881E-2</v>
      </c>
      <c r="H49" s="24">
        <f>Concentrations!H49/Concentrations!G49</f>
        <v>4.0735455267191543E-2</v>
      </c>
      <c r="K49" s="24">
        <f t="shared" ref="K49" si="44">I50-I48</f>
        <v>-3.9265219332689156</v>
      </c>
      <c r="L49" s="24">
        <f t="shared" ref="L49" si="45">SQRT(SUMSQ(J48,J50))</f>
        <v>2.8161551999613388</v>
      </c>
      <c r="M49" s="120">
        <f>(Masses!B53-Masses!B51)/K49</f>
        <v>-0.25467831760396614</v>
      </c>
      <c r="N49" s="120">
        <f t="shared" ref="N49" si="46">M49*L49/K49</f>
        <v>0.18265877044031142</v>
      </c>
      <c r="O49" s="120">
        <f>(Masses!I53-Masses!I51)/K49</f>
        <v>-8.4779022900520098E-2</v>
      </c>
      <c r="P49" s="120">
        <f t="shared" ref="P49" si="47">O49*L49/K49</f>
        <v>6.0804674021055514E-2</v>
      </c>
      <c r="Q49" s="24">
        <f>Masses!K52</f>
        <v>6.2904518314499995</v>
      </c>
    </row>
    <row r="50" spans="1:17">
      <c r="C50" s="24"/>
      <c r="D50" s="24"/>
      <c r="F50" s="24"/>
      <c r="G50" s="24"/>
      <c r="I50" s="24">
        <f t="shared" ref="I50" si="48">AVERAGE(C49,C51)</f>
        <v>49.955844692472667</v>
      </c>
      <c r="J50" s="24">
        <f t="shared" ref="J50" si="49">SQRT(SUMSQ(D49,D51))/2</f>
        <v>1.9652654627146249</v>
      </c>
      <c r="K50" s="24"/>
      <c r="L50" s="24"/>
      <c r="M50" s="24"/>
      <c r="N50" s="24"/>
      <c r="O50" s="24"/>
      <c r="P50" s="24"/>
      <c r="Q50" s="24"/>
    </row>
    <row r="51" spans="1:17">
      <c r="A51" s="24">
        <f>Masses!C54</f>
        <v>23.5</v>
      </c>
      <c r="B51" s="24">
        <f>Concentrations!O51</f>
        <v>1.0692578182822172</v>
      </c>
      <c r="C51" s="45">
        <f>LN('C0 CA'!$B$13/Concentrations!G51)/Constants!$B$25</f>
        <v>47.573147754939995</v>
      </c>
      <c r="D51" s="45">
        <f>SQRT(F51^2+G51^2+H51^2)/Constants!$B$25</f>
        <v>2.7382850115126716</v>
      </c>
      <c r="E51" s="81">
        <f>Constants!$B$15-CA!C51</f>
        <v>1974.0211372813831</v>
      </c>
      <c r="F51" s="34">
        <f>Constants!$B$26*C51</f>
        <v>8.007365819541706E-3</v>
      </c>
      <c r="G51" s="50">
        <f>'C0 CA'!$C$13/'C0 CA'!$B$13</f>
        <v>7.7415386135738881E-2</v>
      </c>
      <c r="H51" s="24">
        <f>Concentrations!H51/Concentrations!G51</f>
        <v>3.5110820840684676E-2</v>
      </c>
      <c r="K51" s="24">
        <f t="shared" ref="K51" si="50">I52-I50</f>
        <v>2.2611404186886119</v>
      </c>
      <c r="L51" s="24">
        <f t="shared" ref="L51" si="51">SQRT(SUMSQ(J50,J52))</f>
        <v>2.8048443790327688</v>
      </c>
      <c r="M51" s="120">
        <f>(Masses!B55-Masses!B53)/K51</f>
        <v>0.44225470993967175</v>
      </c>
      <c r="N51" s="120">
        <f t="shared" ref="N51" si="52">M51*L51/K51</f>
        <v>0.54859734805611049</v>
      </c>
      <c r="O51" s="120">
        <f>(Masses!I55-Masses!I53)/K51</f>
        <v>0.14641862852197915</v>
      </c>
      <c r="P51" s="120">
        <f t="shared" ref="P51" si="53">O51*L51/K51</f>
        <v>0.18162581315217133</v>
      </c>
      <c r="Q51" s="24">
        <f>Masses!K54</f>
        <v>6.6224317173999996</v>
      </c>
    </row>
    <row r="52" spans="1:17">
      <c r="C52" s="24"/>
      <c r="D52" s="24"/>
      <c r="F52" s="24"/>
      <c r="G52" s="24"/>
      <c r="I52" s="24">
        <f t="shared" ref="I52" si="54">AVERAGE(C51,C53)</f>
        <v>52.216985111161279</v>
      </c>
      <c r="J52" s="24">
        <f t="shared" ref="J52" si="55">SQRT(SUMSQ(D51,D53))/2</f>
        <v>2.0012205404834296</v>
      </c>
      <c r="K52" s="24"/>
      <c r="L52" s="24"/>
      <c r="M52" s="24"/>
      <c r="N52" s="24"/>
      <c r="O52" s="24"/>
      <c r="P52" s="24"/>
      <c r="Q52" s="24"/>
    </row>
    <row r="53" spans="1:17">
      <c r="A53" s="24">
        <f>Masses!C56</f>
        <v>24.5</v>
      </c>
      <c r="B53" s="24">
        <f>Concentrations!O53</f>
        <v>0.77966152764400454</v>
      </c>
      <c r="C53" s="45">
        <f>LN('C0 CA'!$B$13/Concentrations!G53)/Constants!$B$25</f>
        <v>56.860822467382562</v>
      </c>
      <c r="D53" s="45">
        <f>SQRT(F53^2+G53^2+H53^2)/Constants!$B$25</f>
        <v>2.9191316863643215</v>
      </c>
      <c r="E53" s="81">
        <f>Constants!$B$15-CA!C53</f>
        <v>1964.7334625689405</v>
      </c>
      <c r="F53" s="34">
        <f>Constants!$B$26*C53</f>
        <v>9.5706386434996678E-3</v>
      </c>
      <c r="G53" s="50">
        <f>'C0 CA'!$C$13/'C0 CA'!$B$13</f>
        <v>7.7415386135738881E-2</v>
      </c>
      <c r="H53" s="24">
        <f>Concentrations!H53/Concentrations!G53</f>
        <v>4.690426593519912E-2</v>
      </c>
      <c r="K53" s="24">
        <f t="shared" ref="K53" si="56">I54-I52</f>
        <v>4.9506216502440594</v>
      </c>
      <c r="L53" s="24">
        <f t="shared" ref="L53" si="57">SQRT(SUMSQ(J52,J54))</f>
        <v>2.8789102928829977</v>
      </c>
      <c r="M53" s="120">
        <f>(Masses!B57-Masses!B55)/K53</f>
        <v>0.20199483431554524</v>
      </c>
      <c r="N53" s="120">
        <f t="shared" ref="N53" si="58">M53*L53/K53</f>
        <v>0.11746504756459232</v>
      </c>
      <c r="O53" s="120">
        <f>(Masses!I57-Masses!I55)/K53</f>
        <v>6.0971227580099811E-2</v>
      </c>
      <c r="P53" s="120">
        <f t="shared" ref="P53" si="59">O53*L53/K53</f>
        <v>3.5456293583131647E-2</v>
      </c>
      <c r="Q53" s="24">
        <f>Masses!K56</f>
        <v>6.9388909965500005</v>
      </c>
    </row>
    <row r="54" spans="1:17">
      <c r="C54" s="24"/>
      <c r="D54" s="24"/>
      <c r="F54" s="24"/>
      <c r="G54" s="24"/>
      <c r="I54" s="24">
        <f t="shared" ref="I54" si="60">AVERAGE(C53,C55)</f>
        <v>57.167606761405338</v>
      </c>
      <c r="J54" s="24">
        <f t="shared" ref="J54" si="61">SQRT(SUMSQ(D53,D55))/2</f>
        <v>2.069599193760685</v>
      </c>
      <c r="K54" s="24"/>
      <c r="L54" s="24"/>
      <c r="M54" s="24"/>
      <c r="N54" s="24"/>
      <c r="O54" s="24"/>
      <c r="P54" s="24"/>
      <c r="Q54" s="24"/>
    </row>
    <row r="55" spans="1:17">
      <c r="A55" s="24">
        <f>Masses!C58</f>
        <v>25.5</v>
      </c>
      <c r="B55" s="24">
        <f>Concentrations!O55</f>
        <v>0.76053002351067511</v>
      </c>
      <c r="C55" s="45">
        <f>LN('C0 CA'!$B$13/Concentrations!G55)/Constants!$B$25</f>
        <v>57.474391055428107</v>
      </c>
      <c r="D55" s="45">
        <f>SQRT(F55^2+G55^2+H55^2)/Constants!$B$25</f>
        <v>2.9345584827914575</v>
      </c>
      <c r="E55" s="81">
        <f>Constants!$B$15-CA!C55</f>
        <v>1964.1198939808949</v>
      </c>
      <c r="F55" s="34">
        <f>Constants!$B$26*C55</f>
        <v>9.673912619927897E-3</v>
      </c>
      <c r="G55" s="50">
        <f>'C0 CA'!$C$13/'C0 CA'!$B$13</f>
        <v>7.7415386135738881E-2</v>
      </c>
      <c r="H55" s="24">
        <f>Concentrations!H55/Concentrations!G55</f>
        <v>4.781024217654186E-2</v>
      </c>
      <c r="K55" s="24">
        <f t="shared" ref="K55" si="62">I56-I54</f>
        <v>0.84309710795493231</v>
      </c>
      <c r="L55" s="24">
        <f t="shared" ref="L55" si="63">SQRT(SUMSQ(J54,J56))</f>
        <v>2.9377929593298049</v>
      </c>
      <c r="M55" s="120">
        <f>(Masses!B59-Masses!B57)/K55</f>
        <v>1.1861029892815798</v>
      </c>
      <c r="N55" s="120">
        <f t="shared" ref="N55" si="64">M55*L55/K55</f>
        <v>4.1330055317159564</v>
      </c>
      <c r="O55" s="120">
        <f>(Masses!I59-Masses!I57)/K55</f>
        <v>0.37165149037226808</v>
      </c>
      <c r="P55" s="120">
        <f t="shared" ref="P55" si="65">O55*L55/K55</f>
        <v>1.2950289135595539</v>
      </c>
      <c r="Q55" s="24">
        <f>Masses!K58</f>
        <v>7.2464828845499998</v>
      </c>
    </row>
    <row r="56" spans="1:17">
      <c r="C56" s="24"/>
      <c r="D56" s="24"/>
      <c r="F56" s="24"/>
      <c r="G56" s="24"/>
      <c r="I56" s="24">
        <f t="shared" ref="I56" si="66">AVERAGE(C55,C57)</f>
        <v>58.01070386936027</v>
      </c>
      <c r="J56" s="24">
        <f t="shared" ref="J56" si="67">SQRT(SUMSQ(D55,D57))/2</f>
        <v>2.0850387644053274</v>
      </c>
      <c r="K56" s="24"/>
      <c r="L56" s="24"/>
      <c r="M56" s="24"/>
      <c r="N56" s="24"/>
      <c r="O56" s="24"/>
      <c r="P56" s="24"/>
      <c r="Q56" s="24"/>
    </row>
    <row r="57" spans="1:17">
      <c r="A57" s="24">
        <f>Masses!C60</f>
        <v>26.5</v>
      </c>
      <c r="B57" s="24">
        <f>Concentrations!O57</f>
        <v>0.72708479500188083</v>
      </c>
      <c r="C57" s="45">
        <f>LN('C0 CA'!$B$13/Concentrations!G57)/Constants!$B$25</f>
        <v>58.547016683292433</v>
      </c>
      <c r="D57" s="45">
        <f>SQRT(F57^2+G57^2+H57^2)/Constants!$B$25</f>
        <v>2.9627543110032386</v>
      </c>
      <c r="E57" s="81">
        <f>Constants!$B$15-CA!C57</f>
        <v>1963.0472683530306</v>
      </c>
      <c r="F57" s="34">
        <f>Constants!$B$26*C57</f>
        <v>9.8544536645097831E-3</v>
      </c>
      <c r="G57" s="50">
        <f>'C0 CA'!$C$13/'C0 CA'!$B$13</f>
        <v>7.7415386135738881E-2</v>
      </c>
      <c r="H57" s="24">
        <f>Concentrations!H57/Concentrations!G57</f>
        <v>4.9436390721757636E-2</v>
      </c>
      <c r="K57" s="24">
        <f t="shared" ref="K57" si="68">I58-I56</f>
        <v>1.2872994838299832</v>
      </c>
      <c r="L57" s="24">
        <f t="shared" ref="L57" si="69">SQRT(SUMSQ(J56,J58))</f>
        <v>2.966369733178118</v>
      </c>
      <c r="M57" s="120">
        <f>(Masses!B61-Masses!B59)/K57</f>
        <v>0.77682001162992187</v>
      </c>
      <c r="N57" s="120">
        <f t="shared" ref="N57" si="70">M57*L57/K57</f>
        <v>1.7900538294089872</v>
      </c>
      <c r="O57" s="120">
        <f>(Masses!I61-Masses!I59)/K57</f>
        <v>0.23357520614038504</v>
      </c>
      <c r="P57" s="120">
        <f t="shared" ref="P57" si="71">O57*L57/K57</f>
        <v>0.53823560921056579</v>
      </c>
      <c r="Q57" s="24">
        <f>Masses!K60</f>
        <v>7.5534926540499994</v>
      </c>
    </row>
    <row r="58" spans="1:17">
      <c r="C58" s="24"/>
      <c r="D58" s="24"/>
      <c r="F58" s="24"/>
      <c r="G58" s="24"/>
      <c r="I58" s="24">
        <f t="shared" ref="I58" si="72">AVERAGE(C57,C59)</f>
        <v>59.298003353190254</v>
      </c>
      <c r="J58" s="24">
        <f t="shared" ref="J58" si="73">SQRT(SUMSQ(D57,D59))/2</f>
        <v>2.1099674748304351</v>
      </c>
      <c r="K58" s="24"/>
      <c r="L58" s="24"/>
      <c r="M58" s="24"/>
      <c r="N58" s="24"/>
      <c r="O58" s="24"/>
      <c r="P58" s="24"/>
      <c r="Q58" s="24"/>
    </row>
    <row r="59" spans="1:17">
      <c r="A59" s="24">
        <f>Masses!C62</f>
        <v>27.5</v>
      </c>
      <c r="B59" s="24">
        <f>Concentrations!O59</f>
        <v>0.68025220005111386</v>
      </c>
      <c r="C59" s="45">
        <f>LN('C0 CA'!$B$13/Concentrations!G59)/Constants!$B$25</f>
        <v>60.048990023088074</v>
      </c>
      <c r="D59" s="45">
        <f>SQRT(F59^2+G59^2+H59^2)/Constants!$B$25</f>
        <v>3.0049855027938186</v>
      </c>
      <c r="E59" s="81">
        <f>Constants!$B$15-CA!C59</f>
        <v>1961.5452950132351</v>
      </c>
      <c r="F59" s="34">
        <f>Constants!$B$26*C59</f>
        <v>1.0107261194608391E-2</v>
      </c>
      <c r="G59" s="50">
        <f>'C0 CA'!$C$13/'C0 CA'!$B$13</f>
        <v>7.7415386135738881E-2</v>
      </c>
      <c r="H59" s="24">
        <f>Concentrations!H59/Concentrations!G59</f>
        <v>5.1806736755845323E-2</v>
      </c>
      <c r="K59" s="24">
        <f t="shared" ref="K59" si="74">I60-I58</f>
        <v>7.8235081955312182</v>
      </c>
      <c r="L59" s="24">
        <f t="shared" ref="L59" si="75">SQRT(SUMSQ(J58,J60))</f>
        <v>3.1556386636804752</v>
      </c>
      <c r="M59" s="120">
        <f>(Masses!B63-Masses!B61)/K59</f>
        <v>0.1278198955004865</v>
      </c>
      <c r="N59" s="120">
        <f t="shared" ref="N59" si="76">M59*L59/K59</f>
        <v>5.1556589978307733E-2</v>
      </c>
      <c r="O59" s="120">
        <f>(Masses!I63-Masses!I61)/K59</f>
        <v>3.9844678743745421E-2</v>
      </c>
      <c r="P59" s="120">
        <f t="shared" ref="P59" si="77">O59*L59/K59</f>
        <v>1.6071486811697931E-2</v>
      </c>
      <c r="Q59" s="24">
        <f>Masses!K62</f>
        <v>7.8596958605499996</v>
      </c>
    </row>
    <row r="60" spans="1:17">
      <c r="C60" s="24"/>
      <c r="D60" s="24"/>
      <c r="F60" s="24"/>
      <c r="G60" s="24"/>
      <c r="I60" s="24">
        <f t="shared" ref="I60" si="78">AVERAGE(C59,C61)</f>
        <v>67.121511548721472</v>
      </c>
      <c r="J60" s="24">
        <f t="shared" ref="J60" si="79">SQRT(SUMSQ(D59,D61))/2</f>
        <v>2.3465064736481707</v>
      </c>
      <c r="K60" s="24"/>
      <c r="L60" s="24"/>
      <c r="M60" s="24"/>
      <c r="N60" s="24"/>
      <c r="O60" s="24"/>
      <c r="P60" s="24"/>
      <c r="Q60" s="24"/>
    </row>
    <row r="61" spans="1:17">
      <c r="A61" s="24">
        <f>Masses!C64</f>
        <v>28.5</v>
      </c>
      <c r="B61" s="24">
        <f>Concentrations!O61</f>
        <v>0.23919971647555693</v>
      </c>
      <c r="C61" s="45">
        <f>LN('C0 CA'!$B$13/Concentrations!G61)/Constants!$B$25</f>
        <v>74.194033074354877</v>
      </c>
      <c r="D61" s="45">
        <f>SQRT(F61^2+G61^2+H61^2)/Constants!$B$25</f>
        <v>3.6047791404592417</v>
      </c>
      <c r="E61" s="81">
        <f>Constants!$B$15-CA!C61</f>
        <v>1947.4002519619683</v>
      </c>
      <c r="F61" s="34">
        <f>Constants!$B$26*C61</f>
        <v>1.2488111308376579E-2</v>
      </c>
      <c r="G61" s="50">
        <f>'C0 CA'!$C$13/'C0 CA'!$B$13</f>
        <v>7.7415386135738881E-2</v>
      </c>
      <c r="H61" s="24">
        <f>Concentrations!H61/Concentrations!G61</f>
        <v>8.0526821460082387E-2</v>
      </c>
      <c r="K61" s="24">
        <f t="shared" ref="K61" si="80">I62-I60</f>
        <v>8.945211598296865</v>
      </c>
      <c r="L61" s="24">
        <f t="shared" ref="L61" si="81">SQRT(SUMSQ(J60,J62))</f>
        <v>3.5279144078619367</v>
      </c>
      <c r="M61" s="120">
        <f>(Masses!B65-Masses!B63)/K61</f>
        <v>0.11179165400518824</v>
      </c>
      <c r="N61" s="120">
        <f t="shared" ref="N61" si="82">M61*L61/K61</f>
        <v>4.4089665460648339E-2</v>
      </c>
      <c r="O61" s="120">
        <f>(Masses!I65-Masses!I63)/K61</f>
        <v>3.3933659440520569E-2</v>
      </c>
      <c r="P61" s="120">
        <f t="shared" ref="P61" si="83">O61*L61/K61</f>
        <v>1.3383143007426011E-2</v>
      </c>
      <c r="Q61" s="24">
        <f>Masses!K64</f>
        <v>8.1673303279000002</v>
      </c>
    </row>
    <row r="62" spans="1:17">
      <c r="C62" s="24"/>
      <c r="D62" s="24"/>
      <c r="F62" s="24"/>
      <c r="G62" s="24"/>
      <c r="I62" s="24">
        <f t="shared" ref="I62" si="84">AVERAGE(C61,C63)</f>
        <v>76.066723147018337</v>
      </c>
      <c r="J62" s="24">
        <f t="shared" ref="J62" si="85">SQRT(SUMSQ(D61,D63))/2</f>
        <v>2.6344045699791567</v>
      </c>
      <c r="K62" s="24"/>
      <c r="L62" s="24"/>
      <c r="M62" s="24"/>
      <c r="N62" s="24"/>
      <c r="O62" s="24"/>
      <c r="P62" s="24"/>
      <c r="Q62" s="24"/>
    </row>
    <row r="63" spans="1:17">
      <c r="A63" s="24">
        <f>Masses!C66</f>
        <v>29.5</v>
      </c>
      <c r="B63" s="24">
        <f>Concentrations!O63</f>
        <v>0.1224161047860126</v>
      </c>
      <c r="C63" s="45">
        <f>LN('C0 CA'!$B$13/Concentrations!G63)/Constants!$B$25</f>
        <v>77.939413219681811</v>
      </c>
      <c r="D63" s="45">
        <f>SQRT(F63^2+G63^2+H63^2)/Constants!$B$25</f>
        <v>3.8426445453383002</v>
      </c>
      <c r="E63" s="81">
        <f>Constants!$B$15-CA!C63</f>
        <v>1943.6548718166412</v>
      </c>
      <c r="F63" s="34">
        <f>Constants!$B$26*C63</f>
        <v>1.3118522167699353E-2</v>
      </c>
      <c r="G63" s="50">
        <f>'C0 CA'!$C$13/'C0 CA'!$B$13</f>
        <v>7.7415386135738881E-2</v>
      </c>
      <c r="H63" s="24">
        <f>Concentrations!H63/Concentrations!G63</f>
        <v>9.0502643137039623E-2</v>
      </c>
      <c r="K63" s="24">
        <f t="shared" ref="K63" si="86">I64-I62</f>
        <v>3.2474381110573347</v>
      </c>
      <c r="L63" s="24">
        <f t="shared" ref="L63" si="87">SQRT(SUMSQ(J62,J64))</f>
        <v>3.8367693107078265</v>
      </c>
      <c r="M63" s="120">
        <f>(Masses!B67-Masses!B65)/K63</f>
        <v>0.30793504473420419</v>
      </c>
      <c r="N63" s="120">
        <f t="shared" ref="N63" si="88">M63*L63/K63</f>
        <v>0.36381778156288225</v>
      </c>
      <c r="O63" s="120">
        <f>(Masses!I67-Masses!I65)/K63</f>
        <v>0.10067395990914005</v>
      </c>
      <c r="P63" s="120">
        <f t="shared" ref="P63" si="89">O63*L63/K63</f>
        <v>0.11894384020795247</v>
      </c>
      <c r="Q63" s="24">
        <f>Masses!K66</f>
        <v>8.4825684370000012</v>
      </c>
    </row>
    <row r="64" spans="1:17">
      <c r="C64" s="24"/>
      <c r="D64" s="24"/>
      <c r="F64" s="24"/>
      <c r="G64" s="24"/>
      <c r="I64" s="24">
        <f t="shared" ref="I64" si="90">AVERAGE(C63,C65)</f>
        <v>79.314161258075671</v>
      </c>
      <c r="J64" s="24">
        <f t="shared" ref="J64" si="91">SQRT(SUMSQ(D63,D65))/2</f>
        <v>2.789392640927832</v>
      </c>
      <c r="K64" s="24"/>
      <c r="L64" s="24"/>
      <c r="M64" s="24"/>
      <c r="N64" s="24"/>
      <c r="O64" s="24"/>
      <c r="P64" s="24"/>
      <c r="Q64" s="24"/>
    </row>
    <row r="65" spans="1:17">
      <c r="A65" s="24">
        <f>Masses!C68</f>
        <v>30.5</v>
      </c>
      <c r="B65" s="24">
        <f>Concentrations!O65</f>
        <v>3.6684865308458867E-2</v>
      </c>
      <c r="C65" s="45">
        <f>LN('C0 CA'!$B$13/Concentrations!G65)/Constants!$B$25</f>
        <v>80.688909296469518</v>
      </c>
      <c r="D65" s="45">
        <f>SQRT(F65^2+G65^2+H65^2)/Constants!$B$25</f>
        <v>4.0443699285835839</v>
      </c>
      <c r="E65" s="81">
        <f>Constants!$B$15-CA!C65</f>
        <v>1940.9053757398535</v>
      </c>
      <c r="F65" s="34">
        <f>Constants!$B$26*C65</f>
        <v>1.3581308885526907E-2</v>
      </c>
      <c r="G65" s="50">
        <f>'C0 CA'!$C$13/'C0 CA'!$B$13</f>
        <v>7.7415386135738881E-2</v>
      </c>
      <c r="H65" s="24">
        <f>Concentrations!H65/Concentrations!G65</f>
        <v>9.8616486139974466E-2</v>
      </c>
      <c r="K65" s="24">
        <f t="shared" ref="K65" si="92">I66-I64</f>
        <v>8.6103304131428899</v>
      </c>
      <c r="L65" s="24">
        <f t="shared" ref="L65" si="93">SQRT(SUMSQ(J64,J66))</f>
        <v>4.4319348344273477</v>
      </c>
      <c r="M65" s="120">
        <f>(Masses!B69-Masses!B67)/K65</f>
        <v>0.11613956166810864</v>
      </c>
      <c r="N65" s="120">
        <f t="shared" ref="N65" si="94">M65*L65/K65</f>
        <v>5.9779700001562741E-2</v>
      </c>
      <c r="O65" s="120">
        <f>(Masses!I69-Masses!I67)/K65</f>
        <v>3.8520701469681971E-2</v>
      </c>
      <c r="P65" s="120">
        <f t="shared" ref="P65" si="95">O65*L65/K65</f>
        <v>1.9827489828900147E-2</v>
      </c>
      <c r="Q65" s="24">
        <f>Masses!K68</f>
        <v>8.8118726478000013</v>
      </c>
    </row>
    <row r="66" spans="1:17">
      <c r="I66" s="24">
        <f t="shared" ref="I66" si="96">AVERAGE(C65,C67)</f>
        <v>87.924491671218561</v>
      </c>
      <c r="J66" s="24">
        <f t="shared" ref="J66" si="97">SQRT(SUMSQ(D65,D67))/2</f>
        <v>3.444028901061694</v>
      </c>
      <c r="M66" s="33"/>
      <c r="N66" s="33"/>
      <c r="O66" s="33"/>
      <c r="P66" s="33"/>
    </row>
    <row r="67" spans="1:17">
      <c r="A67" s="24">
        <f>Masses!C70</f>
        <v>31.5</v>
      </c>
      <c r="B67" s="24">
        <f>Concentrations!O67</f>
        <v>-0.4145363243241581</v>
      </c>
      <c r="C67" s="45">
        <f>LN('C0 CA'!$B$13/Concentrations!G67)/Constants!$B$25</f>
        <v>95.160074045967619</v>
      </c>
      <c r="D67" s="45">
        <f>SQRT(F67^2+G67^2+H67^2)/Constants!$B$25</f>
        <v>5.5756983568125067</v>
      </c>
      <c r="E67" s="81">
        <f>Constants!$B$15-CA!C67</f>
        <v>1926.4342109903555</v>
      </c>
      <c r="F67" s="34">
        <f>Constants!$B$26*C67</f>
        <v>1.6017050799873016E-2</v>
      </c>
      <c r="G67" s="50">
        <f>'C0 CA'!$C$13/'C0 CA'!$B$13</f>
        <v>7.7415386135738881E-2</v>
      </c>
      <c r="H67" s="24">
        <f>Concentrations!H67/Concentrations!G67</f>
        <v>0.15484058364636522</v>
      </c>
      <c r="K67" s="24">
        <f t="shared" ref="K67" si="98">I68-I66</f>
        <v>9.7099396860639047</v>
      </c>
      <c r="L67" s="24">
        <f t="shared" ref="L67" si="99">SQRT(SUMSQ(J66,J68))</f>
        <v>5.4445159384322919</v>
      </c>
      <c r="M67" s="120">
        <f>(Masses!B71-Masses!B69)/K67</f>
        <v>0.10298725144866143</v>
      </c>
      <c r="N67" s="120">
        <f t="shared" ref="N67" si="100">M67*L67/K67</f>
        <v>5.7746572079364511E-2</v>
      </c>
      <c r="O67" s="120">
        <f>(Masses!I71-Masses!I69)/K67</f>
        <v>3.1035508720256316E-2</v>
      </c>
      <c r="P67" s="120">
        <f t="shared" ref="P67" si="101">O67*L67/K67</f>
        <v>1.7402097989064461E-2</v>
      </c>
      <c r="Q67" s="24">
        <f>Masses!K70</f>
        <v>9.1283870904000004</v>
      </c>
    </row>
    <row r="68" spans="1:17">
      <c r="I68" s="24">
        <f t="shared" ref="I68" si="102">AVERAGE(C67,C69)</f>
        <v>97.634431357282466</v>
      </c>
      <c r="J68" s="24">
        <f t="shared" ref="J68" si="103">SQRT(SUMSQ(D67,D69))/2</f>
        <v>4.216801955569534</v>
      </c>
      <c r="M68" s="33"/>
      <c r="N68" s="33"/>
      <c r="O68" s="33"/>
      <c r="P68" s="33"/>
    </row>
    <row r="69" spans="1:17">
      <c r="A69" s="24">
        <f>Masses!C72</f>
        <v>32.5</v>
      </c>
      <c r="B69" s="24">
        <f>Concentrations!O69</f>
        <v>-0.56884075923515875</v>
      </c>
      <c r="C69" s="45">
        <f>LN('C0 CA'!$B$13/Concentrations!G69)/Constants!$B$25</f>
        <v>100.1087886685973</v>
      </c>
      <c r="D69" s="45">
        <f>SQRT(F69^2+G69^2+H69^2)/Constants!$B$25</f>
        <v>6.3275005147228942</v>
      </c>
      <c r="E69" s="81">
        <f>Constants!$B$15-CA!C69</f>
        <v>1921.4854963677258</v>
      </c>
      <c r="F69" s="34">
        <f>Constants!$B$26*C69</f>
        <v>1.6850003215047107E-2</v>
      </c>
      <c r="G69" s="50">
        <f>'C0 CA'!$C$13/'C0 CA'!$B$13</f>
        <v>7.7415386135738881E-2</v>
      </c>
      <c r="H69" s="24">
        <f>Concentrations!H69/Concentrations!G69</f>
        <v>0.18068931994768594</v>
      </c>
      <c r="K69" s="24">
        <f t="shared" ref="K69" si="104">I70-I68</f>
        <v>10.388449452716742</v>
      </c>
      <c r="L69" s="24">
        <f t="shared" ref="L69" si="105">SQRT(SUMSQ(J68,J70))</f>
        <v>7.2088661946766353</v>
      </c>
      <c r="M69" s="120">
        <f>(Masses!B73-Masses!B71)/K69</f>
        <v>9.6260756193840308E-2</v>
      </c>
      <c r="N69" s="120">
        <f t="shared" ref="N69" si="106">M69*L69/K69</f>
        <v>6.6798314258371932E-2</v>
      </c>
      <c r="O69" s="120">
        <f>(Masses!I73-Masses!I71)/K69</f>
        <v>2.9300563311726702E-2</v>
      </c>
      <c r="P69" s="120">
        <f t="shared" ref="P69" si="107">O69*L69/K69</f>
        <v>2.0332566597573497E-2</v>
      </c>
      <c r="Q69" s="24">
        <f>Masses!K72</f>
        <v>9.4312572597499997</v>
      </c>
    </row>
    <row r="70" spans="1:17">
      <c r="I70" s="24">
        <f t="shared" ref="I70" si="108">AVERAGE(C69,C71)</f>
        <v>108.02288080999921</v>
      </c>
      <c r="J70" s="24">
        <f>SQRT(SUMSQ(D69,D71))/2</f>
        <v>5.8469079931410359</v>
      </c>
      <c r="M70" s="33"/>
      <c r="N70" s="33"/>
      <c r="O70" s="33"/>
      <c r="P70" s="33"/>
    </row>
    <row r="71" spans="1:17">
      <c r="A71" s="24">
        <f>Masses!C74</f>
        <v>33.5</v>
      </c>
      <c r="B71" s="24">
        <f>Concentrations!O71</f>
        <v>-1.0623747812328508</v>
      </c>
      <c r="C71" s="45">
        <f>LN('C0 CA'!$B$13/Concentrations!G71)/Constants!$B$25</f>
        <v>115.9369729514011</v>
      </c>
      <c r="D71" s="45">
        <f>SQRT(F71^2+G71^2+H71^2)/Constants!$B$25</f>
        <v>9.8340261112734311</v>
      </c>
      <c r="E71" s="81">
        <f>Constants!$B$15-CA!C71</f>
        <v>1905.6573120849221</v>
      </c>
      <c r="F71" s="34">
        <f>Constants!$B$26*C71</f>
        <v>1.95141544808916E-2</v>
      </c>
      <c r="G71" s="50">
        <f>'C0 CA'!$C$13/'C0 CA'!$B$13</f>
        <v>7.7415386135738881E-2</v>
      </c>
      <c r="H71" s="24">
        <f>Concentrations!H71/Concentrations!G71</f>
        <v>0.29605605401635549</v>
      </c>
      <c r="K71" s="24">
        <f t="shared" ref="K71" si="109">I72-I70</f>
        <v>12.877759902088883</v>
      </c>
      <c r="L71" s="24">
        <f t="shared" ref="L71" si="110">SQRT(SUMSQ(J70,J72))</f>
        <v>10.093883393910044</v>
      </c>
      <c r="M71" s="120">
        <f>(Masses!B75-Masses!B73)/K71</f>
        <v>7.7653257057370001E-2</v>
      </c>
      <c r="N71" s="120">
        <f t="shared" ref="N71" si="111">M71*L71/K71</f>
        <v>6.0866402841325856E-2</v>
      </c>
      <c r="O71" s="120">
        <f>(Masses!I75-Masses!I73)/K71</f>
        <v>2.274767998683392E-2</v>
      </c>
      <c r="P71" s="120">
        <f t="shared" ref="P71" si="112">O71*L71/K71</f>
        <v>1.7830152993599271E-2</v>
      </c>
      <c r="Q71" s="24">
        <f>Masses!K74</f>
        <v>9.7299205507999993</v>
      </c>
    </row>
    <row r="72" spans="1:17">
      <c r="I72" s="24">
        <f>AVERAGE(C71,C73)</f>
        <v>120.90064071208809</v>
      </c>
      <c r="J72" s="24">
        <f>SQRT(SUMSQ(D71,D73))/2</f>
        <v>8.2280100200228503</v>
      </c>
      <c r="M72" s="33"/>
      <c r="N72" s="33"/>
      <c r="O72" s="33"/>
      <c r="P72" s="33"/>
    </row>
    <row r="73" spans="1:17">
      <c r="A73" s="24">
        <f>Masses!C76</f>
        <v>34.5</v>
      </c>
      <c r="B73" s="24">
        <f>Concentrations!O73</f>
        <v>-1.3719161499738748</v>
      </c>
      <c r="C73" s="45">
        <f>LN('C0 CA'!$B$13/Concentrations!G73)/Constants!$B$25</f>
        <v>125.86430847277508</v>
      </c>
      <c r="D73" s="45">
        <f>SQRT(F73^2+G73^2+H73^2)/Constants!$B$25</f>
        <v>13.194412681176001</v>
      </c>
      <c r="E73" s="81">
        <f>Constants!$B$15-CA!C73</f>
        <v>1895.729976563548</v>
      </c>
      <c r="F73" s="34">
        <f>Constants!$B$26*C73</f>
        <v>2.1185093043596181E-2</v>
      </c>
      <c r="G73" s="50">
        <f>'C0 CA'!$C$13/'C0 CA'!$B$13</f>
        <v>7.7415386135738881E-2</v>
      </c>
      <c r="H73" s="24">
        <f>Concentrations!H73/Concentrations!G73</f>
        <v>0.40350611804278308</v>
      </c>
      <c r="K73" s="24">
        <f t="shared" ref="K73" si="113">I74-I72</f>
        <v>9.9273355213739762</v>
      </c>
      <c r="L73" s="24">
        <f t="shared" ref="L73" si="114">SQRT(SUMSQ(J72,J74))</f>
        <v>11.636163361658037</v>
      </c>
      <c r="M73" s="120">
        <f>(Masses!B77-Masses!B75)/K73</f>
        <v>0.10073196356131586</v>
      </c>
      <c r="N73" s="120">
        <f t="shared" ref="N73" si="115">M73*L73/K73</f>
        <v>0.1180713174462979</v>
      </c>
      <c r="O73" s="120">
        <f>(Masses!I77-Masses!I75)/K73</f>
        <v>3.0577649264138852E-2</v>
      </c>
      <c r="P73" s="120">
        <f t="shared" ref="P73" si="116">O73*L73/K73</f>
        <v>3.5841089614321558E-2</v>
      </c>
      <c r="Q73" s="24">
        <f>Masses!K76</f>
        <v>10.02816742325</v>
      </c>
    </row>
    <row r="74" spans="1:17">
      <c r="I74" s="56">
        <f>C73+(C73-C71)/2</f>
        <v>130.82797623346207</v>
      </c>
      <c r="J74" s="56">
        <f>SQRT(D73^2+D71^2)/2</f>
        <v>8.2280100200228503</v>
      </c>
      <c r="M74" s="33"/>
      <c r="N74" s="33"/>
      <c r="O74" s="33"/>
      <c r="P74" s="33"/>
    </row>
    <row r="75" spans="1:17">
      <c r="M75" s="33"/>
      <c r="N75" s="33"/>
      <c r="O75" s="33"/>
      <c r="P75" s="33"/>
    </row>
    <row r="76" spans="1:17">
      <c r="M76" s="33"/>
      <c r="N76" s="33"/>
      <c r="O76" s="33"/>
      <c r="P76" s="33"/>
    </row>
    <row r="77" spans="1:17">
      <c r="M77" s="33"/>
      <c r="N77" s="33"/>
      <c r="O77" s="33"/>
      <c r="P77" s="33"/>
    </row>
    <row r="78" spans="1:17">
      <c r="M78" s="33"/>
      <c r="N78" s="33"/>
      <c r="O78" s="33"/>
      <c r="P78" s="33"/>
    </row>
    <row r="79" spans="1:17">
      <c r="M79" s="33"/>
      <c r="N79" s="33"/>
      <c r="O79" s="33"/>
      <c r="P79" s="33"/>
    </row>
    <row r="80" spans="1:17">
      <c r="M80" s="33"/>
      <c r="N80" s="33"/>
      <c r="O80" s="33"/>
      <c r="P80" s="33"/>
    </row>
    <row r="81" spans="13:16">
      <c r="M81" s="33"/>
      <c r="N81" s="33"/>
      <c r="O81" s="33"/>
      <c r="P81" s="33"/>
    </row>
    <row r="82" spans="13:16">
      <c r="M82" s="33"/>
      <c r="N82" s="33"/>
      <c r="O82" s="33"/>
      <c r="P82" s="33"/>
    </row>
    <row r="83" spans="13:16">
      <c r="M83" s="33"/>
      <c r="N83" s="33"/>
      <c r="O83" s="33"/>
      <c r="P83" s="33"/>
    </row>
    <row r="84" spans="13:16">
      <c r="M84" s="33"/>
      <c r="N84" s="33"/>
      <c r="O84" s="33"/>
      <c r="P84" s="33"/>
    </row>
    <row r="85" spans="13:16">
      <c r="M85" s="33"/>
      <c r="N85" s="33"/>
      <c r="O85" s="33"/>
      <c r="P85" s="33"/>
    </row>
    <row r="86" spans="13:16">
      <c r="M86" s="33"/>
      <c r="N86" s="33"/>
      <c r="O86" s="33"/>
      <c r="P86" s="33"/>
    </row>
    <row r="87" spans="13:16">
      <c r="M87" s="33"/>
      <c r="N87" s="33"/>
      <c r="O87" s="33"/>
      <c r="P87" s="33"/>
    </row>
    <row r="88" spans="13:16">
      <c r="M88" s="33"/>
      <c r="N88" s="33"/>
      <c r="O88" s="33"/>
      <c r="P88" s="33"/>
    </row>
    <row r="89" spans="13:16">
      <c r="M89" s="33"/>
      <c r="N89" s="33"/>
      <c r="O89" s="33"/>
      <c r="P89" s="33"/>
    </row>
    <row r="90" spans="13:16">
      <c r="M90" s="33"/>
      <c r="N90" s="33"/>
      <c r="O90" s="33"/>
      <c r="P90" s="33"/>
    </row>
    <row r="91" spans="13:16">
      <c r="M91" s="33"/>
      <c r="N91" s="33"/>
      <c r="O91" s="33"/>
      <c r="P91" s="33"/>
    </row>
    <row r="92" spans="13:16">
      <c r="M92" s="33"/>
      <c r="N92" s="33"/>
      <c r="O92" s="33"/>
      <c r="P92" s="33"/>
    </row>
    <row r="93" spans="13:16">
      <c r="M93" s="33"/>
      <c r="N93" s="33"/>
      <c r="O93" s="33"/>
      <c r="P93" s="33"/>
    </row>
    <row r="94" spans="13:16">
      <c r="M94" s="33"/>
      <c r="N94" s="33"/>
      <c r="O94" s="33"/>
      <c r="P94" s="33"/>
    </row>
    <row r="95" spans="13:16">
      <c r="M95" s="33"/>
      <c r="N95" s="33"/>
      <c r="O95" s="33"/>
      <c r="P95" s="33"/>
    </row>
    <row r="96" spans="13:16">
      <c r="M96" s="33"/>
      <c r="N96" s="33"/>
      <c r="O96" s="33"/>
      <c r="P96" s="33"/>
    </row>
    <row r="97" spans="13:16">
      <c r="M97" s="33"/>
      <c r="N97" s="33"/>
      <c r="O97" s="33"/>
      <c r="P97" s="33"/>
    </row>
    <row r="98" spans="13:16">
      <c r="M98" s="33"/>
      <c r="N98" s="33"/>
      <c r="O98" s="33"/>
      <c r="P98" s="33"/>
    </row>
    <row r="99" spans="13:16">
      <c r="M99" s="33"/>
      <c r="N99" s="33"/>
      <c r="O99" s="33"/>
      <c r="P99" s="33"/>
    </row>
    <row r="100" spans="13:16">
      <c r="M100" s="33"/>
      <c r="N100" s="33"/>
      <c r="O100" s="33"/>
      <c r="P100" s="33"/>
    </row>
    <row r="101" spans="13:16">
      <c r="M101" s="33"/>
      <c r="N101" s="33"/>
      <c r="O101" s="33"/>
      <c r="P101" s="33"/>
    </row>
    <row r="102" spans="13:16">
      <c r="M102" s="33"/>
      <c r="N102" s="33"/>
      <c r="O102" s="33"/>
      <c r="P102" s="33"/>
    </row>
    <row r="103" spans="13:16">
      <c r="M103" s="33"/>
      <c r="N103" s="33"/>
      <c r="O103" s="33"/>
      <c r="P103" s="33"/>
    </row>
    <row r="104" spans="13:16">
      <c r="M104" s="33"/>
      <c r="N104" s="33"/>
      <c r="O104" s="33"/>
      <c r="P104" s="33"/>
    </row>
    <row r="105" spans="13:16">
      <c r="M105" s="33"/>
      <c r="N105" s="33"/>
      <c r="O105" s="33"/>
      <c r="P105" s="33"/>
    </row>
    <row r="106" spans="13:16">
      <c r="M106" s="33"/>
      <c r="N106" s="33"/>
      <c r="O106" s="33"/>
      <c r="P106" s="33"/>
    </row>
    <row r="107" spans="13:16">
      <c r="M107" s="33"/>
      <c r="N107" s="33"/>
      <c r="O107" s="33"/>
      <c r="P107" s="33"/>
    </row>
    <row r="108" spans="13:16">
      <c r="M108" s="33"/>
      <c r="N108" s="33"/>
      <c r="O108" s="33"/>
      <c r="P108" s="33"/>
    </row>
    <row r="109" spans="13:16">
      <c r="M109" s="33"/>
      <c r="N109" s="33"/>
      <c r="O109" s="33"/>
      <c r="P109" s="33"/>
    </row>
    <row r="110" spans="13:16">
      <c r="M110" s="33"/>
      <c r="N110" s="33"/>
      <c r="O110" s="33"/>
      <c r="P110" s="33"/>
    </row>
    <row r="111" spans="13:16">
      <c r="M111" s="33"/>
      <c r="N111" s="33"/>
      <c r="O111" s="33"/>
      <c r="P111" s="33"/>
    </row>
    <row r="112" spans="13:16">
      <c r="M112" s="33"/>
      <c r="N112" s="33"/>
      <c r="O112" s="33"/>
      <c r="P112" s="33"/>
    </row>
    <row r="113" spans="13:16">
      <c r="M113" s="33"/>
      <c r="N113" s="33"/>
      <c r="O113" s="33"/>
      <c r="P113" s="33"/>
    </row>
    <row r="114" spans="13:16">
      <c r="M114" s="33"/>
      <c r="N114" s="33"/>
      <c r="O114" s="33"/>
      <c r="P114" s="33"/>
    </row>
    <row r="115" spans="13:16">
      <c r="M115" s="33"/>
      <c r="N115" s="33"/>
      <c r="O115" s="33"/>
      <c r="P115" s="33"/>
    </row>
    <row r="116" spans="13:16">
      <c r="M116" s="33"/>
      <c r="N116" s="33"/>
      <c r="O116" s="33"/>
      <c r="P116" s="33"/>
    </row>
    <row r="117" spans="13:16">
      <c r="M117" s="33"/>
      <c r="N117" s="33"/>
      <c r="O117" s="33"/>
      <c r="P117" s="33"/>
    </row>
    <row r="118" spans="13:16">
      <c r="M118" s="33"/>
      <c r="N118" s="33"/>
      <c r="O118" s="33"/>
      <c r="P118" s="33"/>
    </row>
    <row r="119" spans="13:16">
      <c r="M119" s="33"/>
      <c r="N119" s="33"/>
      <c r="O119" s="33"/>
      <c r="P119" s="33"/>
    </row>
    <row r="120" spans="13:16">
      <c r="M120" s="33"/>
      <c r="N120" s="33"/>
      <c r="O120" s="33"/>
      <c r="P120" s="33"/>
    </row>
    <row r="121" spans="13:16">
      <c r="M121" s="33"/>
      <c r="N121" s="33"/>
      <c r="O121" s="33"/>
      <c r="P121" s="33"/>
    </row>
    <row r="122" spans="13:16">
      <c r="M122" s="33"/>
      <c r="N122" s="33"/>
      <c r="O122" s="33"/>
      <c r="P122" s="33"/>
    </row>
    <row r="123" spans="13:16">
      <c r="M123" s="33"/>
      <c r="N123" s="33"/>
      <c r="O123" s="33"/>
      <c r="P123" s="33"/>
    </row>
    <row r="124" spans="13:16">
      <c r="M124" s="33"/>
      <c r="N124" s="33"/>
      <c r="O124" s="33"/>
      <c r="P124" s="33"/>
    </row>
    <row r="125" spans="13:16">
      <c r="M125" s="33"/>
      <c r="N125" s="33"/>
      <c r="O125" s="33"/>
      <c r="P125" s="33"/>
    </row>
    <row r="126" spans="13:16">
      <c r="M126" s="33"/>
      <c r="N126" s="33"/>
      <c r="O126" s="33"/>
      <c r="P126" s="33"/>
    </row>
    <row r="127" spans="13:16">
      <c r="M127" s="33"/>
      <c r="N127" s="33"/>
      <c r="O127" s="33"/>
      <c r="P127" s="33"/>
    </row>
    <row r="128" spans="13:16">
      <c r="M128" s="33"/>
      <c r="N128" s="33"/>
      <c r="O128" s="33"/>
      <c r="P128" s="33"/>
    </row>
    <row r="129" spans="13:16">
      <c r="M129" s="33"/>
      <c r="N129" s="33"/>
      <c r="O129" s="33"/>
      <c r="P129" s="33"/>
    </row>
    <row r="130" spans="13:16">
      <c r="M130" s="33"/>
      <c r="N130" s="33"/>
      <c r="O130" s="33"/>
      <c r="P130" s="33"/>
    </row>
    <row r="131" spans="13:16">
      <c r="M131" s="33"/>
      <c r="N131" s="33"/>
      <c r="O131" s="33"/>
      <c r="P131" s="33"/>
    </row>
    <row r="132" spans="13:16">
      <c r="M132" s="33"/>
      <c r="N132" s="33"/>
      <c r="O132" s="33"/>
      <c r="P132" s="33"/>
    </row>
    <row r="133" spans="13:16">
      <c r="M133" s="33"/>
      <c r="N133" s="33"/>
      <c r="O133" s="33"/>
      <c r="P133" s="33"/>
    </row>
    <row r="134" spans="13:16">
      <c r="M134" s="33"/>
      <c r="N134" s="33"/>
      <c r="O134" s="33"/>
      <c r="P134" s="33"/>
    </row>
    <row r="135" spans="13:16">
      <c r="M135" s="33"/>
      <c r="N135" s="33"/>
      <c r="O135" s="33"/>
      <c r="P135" s="33"/>
    </row>
    <row r="136" spans="13:16">
      <c r="M136" s="33"/>
      <c r="N136" s="33"/>
      <c r="O136" s="33"/>
    </row>
    <row r="137" spans="13:16">
      <c r="M137" s="33"/>
      <c r="N137" s="33"/>
      <c r="O137" s="33"/>
    </row>
    <row r="138" spans="13:16">
      <c r="M138" s="33"/>
      <c r="N138" s="33"/>
      <c r="O138" s="33"/>
    </row>
    <row r="139" spans="13:16">
      <c r="M139" s="33"/>
      <c r="N139" s="33"/>
      <c r="O139" s="33"/>
    </row>
    <row r="140" spans="13:16">
      <c r="M140" s="33"/>
      <c r="N140" s="33"/>
      <c r="O140" s="33"/>
    </row>
    <row r="141" spans="13:16">
      <c r="M141" s="33"/>
      <c r="N141" s="33"/>
      <c r="O141" s="33"/>
    </row>
    <row r="142" spans="13:16">
      <c r="M142" s="33"/>
      <c r="N142" s="33"/>
      <c r="O142" s="33"/>
    </row>
    <row r="143" spans="13:16">
      <c r="M143" s="33"/>
      <c r="N143" s="33"/>
      <c r="O143" s="33"/>
    </row>
    <row r="144" spans="13:16">
      <c r="M144" s="33"/>
      <c r="N144" s="33"/>
      <c r="O144" s="33"/>
    </row>
    <row r="145" spans="13:15">
      <c r="M145" s="33"/>
      <c r="N145" s="33"/>
      <c r="O145" s="33"/>
    </row>
    <row r="146" spans="13:15">
      <c r="M146" s="33"/>
      <c r="N146" s="33"/>
      <c r="O146" s="33"/>
    </row>
    <row r="147" spans="13:15">
      <c r="M147" s="33"/>
      <c r="N147" s="33"/>
      <c r="O147" s="33"/>
    </row>
    <row r="148" spans="13:15">
      <c r="M148" s="33"/>
      <c r="N148" s="33"/>
      <c r="O148" s="33"/>
    </row>
    <row r="149" spans="13:15">
      <c r="M149" s="33"/>
      <c r="N149" s="33"/>
      <c r="O149" s="33"/>
    </row>
    <row r="150" spans="13:15">
      <c r="M150" s="33"/>
      <c r="N150" s="33"/>
      <c r="O150" s="33"/>
    </row>
    <row r="151" spans="13:15">
      <c r="M151" s="33"/>
      <c r="N151" s="33"/>
      <c r="O151" s="33"/>
    </row>
    <row r="152" spans="13:15">
      <c r="M152" s="33"/>
      <c r="N152" s="33"/>
      <c r="O152" s="33"/>
    </row>
    <row r="153" spans="13:15">
      <c r="M153" s="33"/>
      <c r="N153" s="33"/>
      <c r="O153" s="33"/>
    </row>
    <row r="154" spans="13:15">
      <c r="M154" s="33"/>
      <c r="N154" s="33"/>
      <c r="O154" s="33"/>
    </row>
    <row r="155" spans="13:15">
      <c r="M155" s="33"/>
      <c r="N155" s="33"/>
      <c r="O155" s="33"/>
    </row>
    <row r="156" spans="13:15">
      <c r="M156" s="33"/>
      <c r="N156" s="33"/>
      <c r="O156" s="33"/>
    </row>
    <row r="157" spans="13:15">
      <c r="M157" s="33"/>
      <c r="N157" s="33"/>
      <c r="O157" s="33"/>
    </row>
    <row r="158" spans="13:15">
      <c r="M158" s="33"/>
      <c r="N158" s="33"/>
      <c r="O158" s="33"/>
    </row>
    <row r="159" spans="13:15">
      <c r="M159" s="33"/>
      <c r="N159" s="33"/>
      <c r="O159" s="33"/>
    </row>
    <row r="160" spans="13:15">
      <c r="M160" s="33"/>
      <c r="N160" s="33"/>
      <c r="O160" s="33"/>
    </row>
    <row r="161" spans="13:15">
      <c r="M161" s="33"/>
      <c r="N161" s="33"/>
      <c r="O161" s="33"/>
    </row>
    <row r="162" spans="13:15">
      <c r="M162" s="33"/>
      <c r="N162" s="33"/>
      <c r="O162" s="33"/>
    </row>
    <row r="163" spans="13:15">
      <c r="M163" s="33"/>
      <c r="N163" s="33"/>
      <c r="O163" s="33"/>
    </row>
    <row r="164" spans="13:15">
      <c r="M164" s="33"/>
      <c r="N164" s="33"/>
      <c r="O164" s="33"/>
    </row>
    <row r="165" spans="13:15">
      <c r="M165" s="33"/>
      <c r="N165" s="33"/>
      <c r="O165" s="33"/>
    </row>
    <row r="166" spans="13:15">
      <c r="M166" s="33"/>
      <c r="N166" s="33"/>
      <c r="O166" s="33"/>
    </row>
    <row r="167" spans="13:15">
      <c r="M167" s="33"/>
      <c r="N167" s="33"/>
      <c r="O167" s="33"/>
    </row>
    <row r="168" spans="13:15">
      <c r="M168" s="33"/>
      <c r="N168" s="33"/>
      <c r="O168" s="33"/>
    </row>
    <row r="169" spans="13:15">
      <c r="M169" s="33"/>
      <c r="N169" s="33"/>
      <c r="O169" s="33"/>
    </row>
    <row r="170" spans="13:15">
      <c r="M170" s="33"/>
      <c r="N170" s="33"/>
      <c r="O170" s="33"/>
    </row>
    <row r="171" spans="13:15">
      <c r="M171" s="33"/>
      <c r="N171" s="33"/>
      <c r="O171" s="33"/>
    </row>
    <row r="172" spans="13:15">
      <c r="M172" s="33"/>
      <c r="N172" s="33"/>
      <c r="O172" s="33"/>
    </row>
    <row r="173" spans="13:15">
      <c r="M173" s="33"/>
      <c r="N173" s="33"/>
      <c r="O173" s="33"/>
    </row>
    <row r="174" spans="13:15">
      <c r="M174" s="33"/>
      <c r="N174" s="33"/>
      <c r="O174" s="33"/>
    </row>
    <row r="175" spans="13:15">
      <c r="M175" s="33"/>
      <c r="N175" s="33"/>
      <c r="O175" s="33"/>
    </row>
    <row r="176" spans="13:15">
      <c r="M176" s="33"/>
      <c r="N176" s="33"/>
      <c r="O176" s="33"/>
    </row>
    <row r="177" spans="13:15">
      <c r="M177" s="33"/>
      <c r="N177" s="33"/>
      <c r="O177" s="33"/>
    </row>
    <row r="178" spans="13:15">
      <c r="M178" s="33"/>
      <c r="N178" s="33"/>
      <c r="O178" s="33"/>
    </row>
    <row r="179" spans="13:15">
      <c r="M179" s="33"/>
      <c r="N179" s="33"/>
      <c r="O179" s="33"/>
    </row>
    <row r="180" spans="13:15">
      <c r="M180" s="33"/>
      <c r="N180" s="33"/>
      <c r="O180" s="33"/>
    </row>
    <row r="181" spans="13:15">
      <c r="M181" s="33"/>
      <c r="N181" s="33"/>
      <c r="O181" s="33"/>
    </row>
    <row r="182" spans="13:15">
      <c r="M182" s="33"/>
      <c r="N182" s="33"/>
      <c r="O182" s="33"/>
    </row>
    <row r="183" spans="13:15">
      <c r="M183" s="33"/>
      <c r="N183" s="33"/>
      <c r="O183" s="33"/>
    </row>
    <row r="184" spans="13:15">
      <c r="M184" s="33"/>
      <c r="N184" s="33"/>
      <c r="O184" s="33"/>
    </row>
    <row r="185" spans="13:15">
      <c r="M185" s="33"/>
      <c r="N185" s="33"/>
      <c r="O185" s="33"/>
    </row>
    <row r="186" spans="13:15">
      <c r="M186" s="33"/>
      <c r="N186" s="33"/>
      <c r="O186" s="33"/>
    </row>
    <row r="187" spans="13:15">
      <c r="M187" s="33"/>
      <c r="N187" s="33"/>
      <c r="O187" s="33"/>
    </row>
    <row r="188" spans="13:15">
      <c r="M188" s="33"/>
      <c r="N188" s="33"/>
      <c r="O188" s="33"/>
    </row>
    <row r="189" spans="13:15">
      <c r="M189" s="33"/>
      <c r="N189" s="33"/>
      <c r="O189" s="33"/>
    </row>
    <row r="190" spans="13:15">
      <c r="M190" s="33"/>
      <c r="N190" s="33"/>
      <c r="O190" s="33"/>
    </row>
    <row r="191" spans="13:15">
      <c r="M191" s="33"/>
      <c r="N191" s="33"/>
      <c r="O191" s="33"/>
    </row>
    <row r="192" spans="13:15">
      <c r="M192" s="33"/>
      <c r="N192" s="33"/>
      <c r="O192" s="33"/>
    </row>
    <row r="193" spans="13:15">
      <c r="M193" s="33"/>
      <c r="N193" s="33"/>
      <c r="O193" s="33"/>
    </row>
    <row r="194" spans="13:15">
      <c r="M194" s="33"/>
      <c r="N194" s="33"/>
      <c r="O194" s="33"/>
    </row>
    <row r="195" spans="13:15">
      <c r="M195" s="33"/>
      <c r="N195" s="33"/>
      <c r="O195" s="33"/>
    </row>
    <row r="196" spans="13:15">
      <c r="M196" s="33"/>
      <c r="N196" s="33"/>
      <c r="O196" s="33"/>
    </row>
    <row r="197" spans="13:15">
      <c r="M197" s="33"/>
      <c r="N197" s="33"/>
      <c r="O197" s="33"/>
    </row>
    <row r="198" spans="13:15">
      <c r="M198" s="33"/>
      <c r="N198" s="33"/>
      <c r="O198" s="33"/>
    </row>
    <row r="199" spans="13:15">
      <c r="M199" s="33"/>
      <c r="N199" s="33"/>
      <c r="O199" s="33"/>
    </row>
    <row r="200" spans="13:15">
      <c r="M200" s="33"/>
      <c r="N200" s="33"/>
      <c r="O200" s="33"/>
    </row>
    <row r="201" spans="13:15">
      <c r="M201" s="33"/>
      <c r="N201" s="33"/>
      <c r="O201" s="33"/>
    </row>
    <row r="202" spans="13:15">
      <c r="M202" s="33"/>
      <c r="N202" s="33"/>
      <c r="O202" s="33"/>
    </row>
    <row r="203" spans="13:15">
      <c r="M203" s="33"/>
      <c r="N203" s="33"/>
      <c r="O203" s="33"/>
    </row>
    <row r="204" spans="13:15">
      <c r="M204" s="33"/>
      <c r="N204" s="33"/>
      <c r="O204" s="33"/>
    </row>
    <row r="205" spans="13:15">
      <c r="M205" s="33"/>
      <c r="N205" s="33"/>
      <c r="O205" s="33"/>
    </row>
    <row r="206" spans="13:15">
      <c r="M206" s="33"/>
      <c r="N206" s="33"/>
      <c r="O206" s="33"/>
    </row>
    <row r="207" spans="13:15">
      <c r="M207" s="33"/>
      <c r="N207" s="33"/>
      <c r="O207" s="33"/>
    </row>
    <row r="208" spans="13:15">
      <c r="M208" s="33"/>
      <c r="N208" s="33"/>
      <c r="O208" s="33"/>
    </row>
    <row r="209" spans="13:15">
      <c r="M209" s="33"/>
      <c r="N209" s="33"/>
      <c r="O209" s="33"/>
    </row>
    <row r="210" spans="13:15">
      <c r="M210" s="33"/>
      <c r="N210" s="33"/>
      <c r="O210" s="33"/>
    </row>
    <row r="211" spans="13:15">
      <c r="M211" s="33"/>
      <c r="N211" s="33"/>
      <c r="O211" s="33"/>
    </row>
    <row r="212" spans="13:15">
      <c r="M212" s="33"/>
      <c r="N212" s="33"/>
      <c r="O212" s="33"/>
    </row>
  </sheetData>
  <sortState xmlns:xlrd2="http://schemas.microsoft.com/office/spreadsheetml/2017/richdata2" ref="AU7:AX60">
    <sortCondition ref="AX7:AX60"/>
  </sortState>
  <mergeCells count="1">
    <mergeCell ref="Q2:S2"/>
  </mergeCells>
  <phoneticPr fontId="1" type="noConversion"/>
  <pageMargins left="0.7" right="0.7" top="0.75" bottom="0.75" header="0.5" footer="0.5"/>
  <pageSetup fitToHeight="24" orientation="landscape"/>
  <headerFooter>
    <oddHeader>&amp;F</oddHeader>
    <oddFooter>&amp;A</oddFooter>
  </headerFooter>
  <rowBreaks count="1" manualBreakCount="1">
    <brk id="35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11"/>
  <sheetViews>
    <sheetView zoomScale="75" zoomScaleNormal="75" zoomScaleSheetLayoutView="100" zoomScalePageLayoutView="110" workbookViewId="0">
      <selection activeCell="N28" sqref="N28"/>
    </sheetView>
  </sheetViews>
  <sheetFormatPr defaultColWidth="12.6328125" defaultRowHeight="13"/>
  <cols>
    <col min="1" max="1" width="12.6328125" style="11"/>
    <col min="2" max="3" width="17.08984375" style="11" customWidth="1"/>
    <col min="4" max="4" width="14" style="11" customWidth="1"/>
    <col min="5" max="5" width="14.36328125" style="11" customWidth="1"/>
    <col min="6" max="7" width="9.6328125" style="11" customWidth="1"/>
    <col min="8" max="8" width="20.81640625" style="11" customWidth="1"/>
    <col min="9" max="9" width="14" style="11" customWidth="1"/>
    <col min="10" max="10" width="11" style="11" bestFit="1" customWidth="1"/>
    <col min="11" max="12" width="10.6328125" style="11" bestFit="1" customWidth="1"/>
    <col min="13" max="13" width="9.6328125" style="11" customWidth="1"/>
    <col min="14" max="14" width="12" style="11" customWidth="1"/>
    <col min="15" max="15" width="13.81640625" style="11" customWidth="1"/>
    <col min="16" max="16" width="14.81640625" style="11" customWidth="1"/>
    <col min="17" max="17" width="14.08984375" style="11" customWidth="1"/>
    <col min="18" max="18" width="12.6328125" style="11" customWidth="1"/>
    <col min="19" max="19" width="9.6328125" style="11" customWidth="1"/>
    <col min="20" max="20" width="12.6328125" style="11" customWidth="1"/>
    <col min="21" max="21" width="9.6328125" style="11" customWidth="1"/>
    <col min="22" max="22" width="12.6328125" style="11" customWidth="1"/>
    <col min="23" max="23" width="9.6328125" style="11" customWidth="1"/>
    <col min="24" max="24" width="12.6328125" style="11" customWidth="1"/>
    <col min="25" max="25" width="9.6328125" style="11" customWidth="1"/>
    <col min="26" max="16384" width="12.6328125" style="11"/>
  </cols>
  <sheetData>
    <row r="1" spans="1:32" s="21" customFormat="1" ht="15.5">
      <c r="E1" s="21" t="s">
        <v>188</v>
      </c>
      <c r="L1" s="89"/>
      <c r="M1" s="231" t="s">
        <v>116</v>
      </c>
      <c r="N1" s="321" t="s">
        <v>120</v>
      </c>
      <c r="O1" s="53"/>
      <c r="P1" s="53"/>
      <c r="Q1" s="53"/>
      <c r="R1" s="53"/>
      <c r="S1" s="53"/>
      <c r="T1" s="53"/>
      <c r="U1" s="53"/>
      <c r="V1" s="53"/>
      <c r="W1" s="53"/>
    </row>
    <row r="2" spans="1:32" ht="15.5">
      <c r="A2" s="21"/>
      <c r="B2" s="33" t="s">
        <v>189</v>
      </c>
      <c r="E2" s="53"/>
      <c r="F2" s="53"/>
      <c r="G2" s="53"/>
      <c r="H2" s="53"/>
      <c r="I2" s="53"/>
      <c r="J2" s="53"/>
      <c r="K2" s="53"/>
      <c r="L2" s="53"/>
      <c r="M2" s="53"/>
      <c r="N2" s="244"/>
    </row>
    <row r="3" spans="1:32" ht="16">
      <c r="A3" s="21"/>
      <c r="B3" s="4" t="s">
        <v>49</v>
      </c>
      <c r="C3" s="4" t="s">
        <v>57</v>
      </c>
      <c r="D3" s="4" t="s">
        <v>89</v>
      </c>
      <c r="E3" s="140" t="s">
        <v>192</v>
      </c>
      <c r="F3" s="172" t="s">
        <v>135</v>
      </c>
      <c r="G3" s="23" t="s">
        <v>271</v>
      </c>
      <c r="H3" s="53"/>
      <c r="I3" s="53"/>
      <c r="J3" s="53"/>
      <c r="K3" s="53"/>
      <c r="L3" s="53"/>
      <c r="M3" s="53"/>
      <c r="N3" s="244"/>
    </row>
    <row r="4" spans="1:32" ht="15.5">
      <c r="A4" s="21"/>
      <c r="B4" s="44" t="s">
        <v>59</v>
      </c>
      <c r="C4" s="44" t="s">
        <v>61</v>
      </c>
      <c r="D4" s="44"/>
      <c r="E4" s="145" t="s">
        <v>195</v>
      </c>
      <c r="F4" s="22"/>
      <c r="G4" s="23" t="s">
        <v>195</v>
      </c>
      <c r="H4" s="53"/>
      <c r="I4" s="53"/>
      <c r="J4" s="53"/>
      <c r="K4" s="53"/>
      <c r="L4" s="53"/>
      <c r="M4" s="53"/>
      <c r="N4" s="244"/>
    </row>
    <row r="5" spans="1:32" ht="15.5">
      <c r="A5" s="21"/>
      <c r="B5" s="21" cm="1">
        <f t="array" ref="B5:B39">_xlfn._xlws.FILTER(Concentrations!A5:'Concentrations'!A74,(Concentrations!A5:'Concentrations'!A74&lt;&gt;""))</f>
        <v>0.5</v>
      </c>
      <c r="C5" s="21" cm="1">
        <f t="array" ref="C5:C39">_xlfn._xlws.FILTER(Concentrations!N5:'Concentrations'!N74,(Concentrations!N5:'Concentrations'!N74&lt;&gt;""))</f>
        <v>0.11305196145</v>
      </c>
      <c r="D5" s="21" cm="1">
        <f t="array" ref="D5:D39">_xlfn._xlws.FILTER(Concentrations!O5:'Concentrations'!O74,(Concentrations!O5:'Concentrations'!O74&lt;&gt;""))</f>
        <v>2.4151091582414264</v>
      </c>
      <c r="E5" s="173">
        <f>(B5-$B$5)/($N$21)</f>
        <v>0</v>
      </c>
      <c r="F5" s="12">
        <f>Constants!$B$15-E5</f>
        <v>2021.5942850363231</v>
      </c>
      <c r="G5" s="53">
        <f>E5*($N$24/$N$21)</f>
        <v>0</v>
      </c>
      <c r="H5" s="53"/>
      <c r="I5" s="53"/>
      <c r="J5" s="53"/>
      <c r="K5" s="53"/>
      <c r="L5" s="53"/>
      <c r="M5" s="53"/>
      <c r="N5" s="244" t="s">
        <v>264</v>
      </c>
    </row>
    <row r="6" spans="1:32" ht="15.5">
      <c r="A6" s="21"/>
      <c r="B6" s="21">
        <v>1.5</v>
      </c>
      <c r="C6" s="111">
        <v>0.36344806950000003</v>
      </c>
      <c r="D6" s="111">
        <v>2.3419753102451861</v>
      </c>
      <c r="E6" s="173">
        <f>(B6-$B$5)/($N$21)</f>
        <v>2.2994320156702193</v>
      </c>
      <c r="F6" s="12">
        <f>Constants!$B$15-E6</f>
        <v>2019.2948530206529</v>
      </c>
      <c r="G6" s="53">
        <f t="shared" ref="G6:G31" si="0">E6*($N$24/$N$21)</f>
        <v>9.7411408471521133E-2</v>
      </c>
      <c r="H6" s="53"/>
      <c r="I6" s="53"/>
      <c r="J6" s="53"/>
      <c r="K6" s="53"/>
      <c r="L6" s="53"/>
      <c r="M6" s="53"/>
      <c r="N6" s="11" t="s">
        <v>190</v>
      </c>
      <c r="O6" s="11" cm="1">
        <f t="array" ref="O6:P10">LINEST(D5:D32,B5:B32,TRUE,TRUE)</f>
        <v>-7.1697922561902133E-2</v>
      </c>
      <c r="P6" s="11">
        <v>2.5637645796818176</v>
      </c>
      <c r="Q6" s="11" t="s">
        <v>191</v>
      </c>
    </row>
    <row r="7" spans="1:32" ht="15.5">
      <c r="A7" s="21"/>
      <c r="B7" s="21">
        <v>2.5</v>
      </c>
      <c r="C7" s="111">
        <v>0.64298113364999998</v>
      </c>
      <c r="D7" s="111">
        <v>2.4479758163356573</v>
      </c>
      <c r="E7" s="173">
        <f t="shared" ref="E7:E31" si="1">(B7-$B$5)/($N$21)</f>
        <v>4.5988640313404385</v>
      </c>
      <c r="F7" s="12">
        <f>Constants!$B$15-E7</f>
        <v>2016.9954210049827</v>
      </c>
      <c r="G7" s="53">
        <f t="shared" si="0"/>
        <v>0.19482281694304227</v>
      </c>
      <c r="H7" s="53"/>
      <c r="I7" s="53"/>
      <c r="J7" s="53"/>
      <c r="K7" s="53"/>
      <c r="L7" s="53"/>
      <c r="M7" s="53"/>
      <c r="N7" s="11" t="s">
        <v>259</v>
      </c>
      <c r="O7" s="11">
        <v>3.0125972087125192E-3</v>
      </c>
      <c r="P7" s="11">
        <v>4.8693301205940724E-2</v>
      </c>
      <c r="Q7" s="11" t="s">
        <v>259</v>
      </c>
      <c r="R7" s="53"/>
      <c r="S7" s="53"/>
      <c r="T7" s="53"/>
    </row>
    <row r="8" spans="1:32" ht="15.5">
      <c r="A8" s="21"/>
      <c r="B8" s="21">
        <v>3.5</v>
      </c>
      <c r="C8" s="111">
        <v>0.93134726709999993</v>
      </c>
      <c r="D8" s="111">
        <v>2.3918075458918255</v>
      </c>
      <c r="E8" s="173">
        <f t="shared" si="1"/>
        <v>6.8982960470106578</v>
      </c>
      <c r="F8" s="12">
        <f>Constants!$B$15-E8</f>
        <v>2014.6959889893124</v>
      </c>
      <c r="G8" s="53">
        <f t="shared" si="0"/>
        <v>0.2922342254145634</v>
      </c>
      <c r="H8" s="53"/>
      <c r="I8" s="53"/>
      <c r="J8" s="53"/>
      <c r="K8" s="53"/>
      <c r="L8" s="53"/>
      <c r="M8" s="53"/>
      <c r="N8" s="11" t="s">
        <v>260</v>
      </c>
      <c r="O8" s="11">
        <v>0.95611148587992378</v>
      </c>
      <c r="P8" s="11">
        <v>0.1287687094286841</v>
      </c>
      <c r="Q8" s="11" t="s">
        <v>260</v>
      </c>
      <c r="R8" s="53"/>
      <c r="S8" s="53"/>
      <c r="T8" s="53"/>
    </row>
    <row r="9" spans="1:32" ht="15.5">
      <c r="A9" s="21"/>
      <c r="B9" s="21">
        <v>4.5</v>
      </c>
      <c r="C9" s="111">
        <v>1.2253343395499998</v>
      </c>
      <c r="D9" s="111">
        <v>2.3714154564235437</v>
      </c>
      <c r="E9" s="173">
        <f t="shared" si="1"/>
        <v>9.1977280626808771</v>
      </c>
      <c r="F9" s="12">
        <f>Constants!$B$15-E9</f>
        <v>2012.3965569736422</v>
      </c>
      <c r="G9" s="53">
        <f t="shared" si="0"/>
        <v>0.38964563388608453</v>
      </c>
      <c r="H9" s="53"/>
      <c r="I9" s="53"/>
      <c r="J9" s="53"/>
      <c r="K9" s="53"/>
      <c r="L9" s="53"/>
      <c r="M9" s="53"/>
      <c r="N9" s="11" t="s">
        <v>198</v>
      </c>
      <c r="O9" s="53">
        <v>566.41012190263814</v>
      </c>
      <c r="P9" s="53">
        <v>26</v>
      </c>
      <c r="Q9" s="11" t="s">
        <v>198</v>
      </c>
      <c r="R9" s="53"/>
      <c r="S9" s="53"/>
      <c r="T9" s="53"/>
    </row>
    <row r="10" spans="1:32" ht="18">
      <c r="A10" s="21"/>
      <c r="B10" s="21">
        <v>5.5</v>
      </c>
      <c r="C10" s="111">
        <v>1.5205182124499999</v>
      </c>
      <c r="D10" s="111">
        <v>2.2843685594316989</v>
      </c>
      <c r="E10" s="173">
        <f t="shared" si="1"/>
        <v>11.497160078351097</v>
      </c>
      <c r="F10" s="12">
        <f>Constants!$B$15-E10</f>
        <v>2010.097124957972</v>
      </c>
      <c r="G10" s="53">
        <f t="shared" si="0"/>
        <v>0.48705704235760572</v>
      </c>
      <c r="H10" s="53"/>
      <c r="I10" s="53"/>
      <c r="J10" s="53"/>
      <c r="K10" s="53"/>
      <c r="L10" s="53"/>
      <c r="M10" s="53"/>
      <c r="N10" s="11" t="s">
        <v>261</v>
      </c>
      <c r="O10" s="53">
        <v>9.3918617661382253</v>
      </c>
      <c r="P10" s="53">
        <v>0.43111589372615078</v>
      </c>
      <c r="Q10" s="11" t="s">
        <v>261</v>
      </c>
      <c r="R10" s="53"/>
      <c r="S10" s="53"/>
      <c r="T10" s="176"/>
    </row>
    <row r="11" spans="1:32" ht="15.5">
      <c r="A11" s="21"/>
      <c r="B11" s="21">
        <v>6.5</v>
      </c>
      <c r="C11" s="111">
        <v>1.81244428245</v>
      </c>
      <c r="D11" s="111">
        <v>2.271076123315968</v>
      </c>
      <c r="E11" s="173">
        <f t="shared" si="1"/>
        <v>13.796592094021316</v>
      </c>
      <c r="F11" s="12">
        <f>Constants!$B$15-E11</f>
        <v>2007.7976929423019</v>
      </c>
      <c r="G11" s="53">
        <f t="shared" si="0"/>
        <v>0.5844684508291268</v>
      </c>
      <c r="H11" s="53"/>
      <c r="I11" s="53"/>
      <c r="J11" s="53"/>
      <c r="K11" s="53"/>
      <c r="L11" s="53"/>
      <c r="M11" s="53"/>
      <c r="N11" s="244"/>
      <c r="O11" s="53"/>
      <c r="P11" s="53"/>
      <c r="Q11" s="53"/>
      <c r="R11" s="53"/>
      <c r="S11" s="53"/>
      <c r="T11" s="53"/>
    </row>
    <row r="12" spans="1:32" ht="15.5">
      <c r="A12" s="21"/>
      <c r="B12" s="21">
        <v>7.5</v>
      </c>
      <c r="C12" s="111">
        <v>2.0983551990000002</v>
      </c>
      <c r="D12" s="111">
        <v>2.1390459831372111</v>
      </c>
      <c r="E12" s="173">
        <f t="shared" si="1"/>
        <v>16.096024109691538</v>
      </c>
      <c r="F12" s="12">
        <f>Constants!$B$15-E12</f>
        <v>2005.4982609266315</v>
      </c>
      <c r="G12" s="53">
        <f t="shared" si="0"/>
        <v>0.68187985930064809</v>
      </c>
      <c r="H12" s="53"/>
      <c r="I12" s="53"/>
      <c r="J12" s="53"/>
      <c r="K12" s="53"/>
      <c r="L12" s="53"/>
      <c r="M12" s="53"/>
      <c r="N12" s="324" t="s">
        <v>262</v>
      </c>
      <c r="O12" s="53"/>
      <c r="P12" s="53"/>
      <c r="Q12" s="53"/>
      <c r="R12" s="53"/>
      <c r="S12" s="53"/>
      <c r="T12" s="53"/>
    </row>
    <row r="13" spans="1:32" ht="15.5">
      <c r="A13" s="21"/>
      <c r="B13" s="21">
        <v>8.5</v>
      </c>
      <c r="C13" s="111">
        <v>2.3814719588999997</v>
      </c>
      <c r="D13" s="111">
        <v>1.8092272585427991</v>
      </c>
      <c r="E13" s="173">
        <f t="shared" si="1"/>
        <v>18.395456125361754</v>
      </c>
      <c r="F13" s="12">
        <f>Constants!$B$15-E13</f>
        <v>2003.1988289109613</v>
      </c>
      <c r="G13" s="53">
        <f t="shared" si="0"/>
        <v>0.77929126777216906</v>
      </c>
      <c r="H13" s="53"/>
      <c r="I13" s="53"/>
      <c r="J13" s="53"/>
      <c r="K13" s="53"/>
      <c r="L13" s="53"/>
      <c r="M13" s="53"/>
      <c r="N13" s="11" t="s">
        <v>190</v>
      </c>
      <c r="O13" s="53" cm="1">
        <f t="array" ref="O13:P17">LINEST(D32:D39,B32:B39,TRUE,TRUE)</f>
        <v>-0.27854812762396536</v>
      </c>
      <c r="P13" s="53">
        <v>8.3426025653248139</v>
      </c>
      <c r="Q13" s="11" t="s">
        <v>191</v>
      </c>
      <c r="R13" s="53"/>
      <c r="S13" s="53"/>
      <c r="T13" s="53"/>
    </row>
    <row r="14" spans="1:32" ht="15.5">
      <c r="A14" s="21"/>
      <c r="B14" s="21">
        <v>9.5</v>
      </c>
      <c r="C14" s="111">
        <v>2.6552368568000002</v>
      </c>
      <c r="D14" s="111">
        <v>1.8165628724827125</v>
      </c>
      <c r="E14" s="173">
        <f t="shared" si="1"/>
        <v>20.694888141031974</v>
      </c>
      <c r="F14" s="12">
        <f>Constants!$B$15-E14</f>
        <v>2000.8993968952911</v>
      </c>
      <c r="G14" s="53">
        <f t="shared" si="0"/>
        <v>0.87670267624369025</v>
      </c>
      <c r="J14" s="53"/>
      <c r="K14" s="53"/>
      <c r="L14" s="53"/>
      <c r="M14" s="53"/>
      <c r="N14" s="11" t="s">
        <v>259</v>
      </c>
      <c r="O14" s="53">
        <v>1.9903773595538465E-2</v>
      </c>
      <c r="P14" s="53">
        <v>0.61870008605110627</v>
      </c>
      <c r="Q14" s="11" t="s">
        <v>259</v>
      </c>
      <c r="R14" s="53"/>
      <c r="S14" s="53"/>
      <c r="T14" s="53"/>
    </row>
    <row r="15" spans="1:32" ht="15.5">
      <c r="A15" s="21"/>
      <c r="B15" s="21">
        <v>10.5</v>
      </c>
      <c r="C15" s="111">
        <v>2.9218481233000002</v>
      </c>
      <c r="D15" s="111">
        <v>1.7504464594070341</v>
      </c>
      <c r="E15" s="173">
        <f t="shared" si="1"/>
        <v>22.994320156702194</v>
      </c>
      <c r="F15" s="12">
        <f>Constants!$B$15-E15</f>
        <v>1998.599964879621</v>
      </c>
      <c r="G15" s="53">
        <f t="shared" si="0"/>
        <v>0.97411408471521144</v>
      </c>
      <c r="J15" s="53"/>
      <c r="K15" s="53"/>
      <c r="L15" s="53"/>
      <c r="M15" s="53"/>
      <c r="N15" s="11" t="s">
        <v>260</v>
      </c>
      <c r="O15" s="53">
        <v>0.97027535943967091</v>
      </c>
      <c r="P15" s="53">
        <v>0.12899119559250186</v>
      </c>
      <c r="Q15" s="11" t="s">
        <v>260</v>
      </c>
      <c r="R15" s="53"/>
      <c r="S15" s="53"/>
      <c r="T15" s="53"/>
    </row>
    <row r="16" spans="1:32" ht="15.5">
      <c r="A16" s="21"/>
      <c r="B16" s="21">
        <v>11.5</v>
      </c>
      <c r="C16" s="111">
        <v>3.1830338817500001</v>
      </c>
      <c r="D16" s="111">
        <v>1.5063348904380969</v>
      </c>
      <c r="E16" s="173">
        <f t="shared" si="1"/>
        <v>25.293752172372415</v>
      </c>
      <c r="F16" s="12">
        <f>Constants!$B$15-E16</f>
        <v>1996.3005328639506</v>
      </c>
      <c r="G16" s="53">
        <f t="shared" si="0"/>
        <v>1.0715254931867326</v>
      </c>
      <c r="J16" s="53"/>
      <c r="K16" s="53"/>
      <c r="L16" s="53"/>
      <c r="M16" s="53"/>
      <c r="N16" s="11" t="s">
        <v>198</v>
      </c>
      <c r="O16" s="11">
        <v>195.85273520204225</v>
      </c>
      <c r="P16" s="11">
        <v>6</v>
      </c>
      <c r="Q16" s="11" t="s">
        <v>198</v>
      </c>
      <c r="R16" s="53"/>
      <c r="S16" s="53"/>
      <c r="T16" s="53"/>
      <c r="AF16" s="21"/>
    </row>
    <row r="17" spans="1:36" ht="15.5">
      <c r="A17" s="21"/>
      <c r="B17" s="21">
        <v>12.5</v>
      </c>
      <c r="C17" s="111">
        <v>3.4442700522499998</v>
      </c>
      <c r="D17" s="111">
        <v>1.4958420918884883</v>
      </c>
      <c r="E17" s="173">
        <f t="shared" si="1"/>
        <v>27.593184188042631</v>
      </c>
      <c r="F17" s="12">
        <f>Constants!$B$15-E17</f>
        <v>1994.0011008482804</v>
      </c>
      <c r="G17" s="53">
        <f t="shared" si="0"/>
        <v>1.1689369016582536</v>
      </c>
      <c r="J17" s="53"/>
      <c r="K17" s="53"/>
      <c r="L17" s="53"/>
      <c r="M17" s="53"/>
      <c r="N17" s="11" t="s">
        <v>261</v>
      </c>
      <c r="O17" s="11">
        <v>3.258740494918309</v>
      </c>
      <c r="P17" s="11">
        <v>9.9832371242298434E-2</v>
      </c>
      <c r="Q17" s="11" t="s">
        <v>261</v>
      </c>
      <c r="R17" s="53"/>
      <c r="S17" s="53"/>
      <c r="T17" s="53"/>
    </row>
    <row r="18" spans="1:36" ht="15.5">
      <c r="A18" s="21"/>
      <c r="B18" s="21">
        <v>13.5</v>
      </c>
      <c r="C18" s="111">
        <v>3.71374820555</v>
      </c>
      <c r="D18" s="111">
        <v>1.6417207447081639</v>
      </c>
      <c r="E18" s="173">
        <f t="shared" si="1"/>
        <v>29.892616203712851</v>
      </c>
      <c r="F18" s="12">
        <f>Constants!$B$15-E18</f>
        <v>1991.7016688326103</v>
      </c>
      <c r="G18" s="53">
        <f t="shared" si="0"/>
        <v>1.2663483101297748</v>
      </c>
      <c r="J18" s="53"/>
      <c r="K18" s="53"/>
      <c r="L18" s="53"/>
      <c r="M18" s="53"/>
      <c r="N18" s="244"/>
      <c r="R18" s="53"/>
      <c r="S18" s="53"/>
      <c r="T18" s="53"/>
    </row>
    <row r="19" spans="1:36" ht="15.5">
      <c r="A19" s="21"/>
      <c r="B19" s="21">
        <v>14.5</v>
      </c>
      <c r="C19" s="111">
        <v>3.985852661</v>
      </c>
      <c r="D19" s="111">
        <v>1.683955072556897</v>
      </c>
      <c r="E19" s="173">
        <f t="shared" si="1"/>
        <v>32.192048219383075</v>
      </c>
      <c r="F19" s="12">
        <f>Constants!$B$15-E19</f>
        <v>1989.4022368169401</v>
      </c>
      <c r="G19" s="53">
        <f t="shared" si="0"/>
        <v>1.3637597186012962</v>
      </c>
      <c r="J19" s="53"/>
      <c r="K19" s="53"/>
      <c r="L19" s="53"/>
      <c r="M19" s="53"/>
      <c r="N19" s="244"/>
      <c r="R19" s="53"/>
      <c r="S19" s="53"/>
      <c r="T19" s="53"/>
    </row>
    <row r="20" spans="1:36" ht="15.5">
      <c r="B20" s="111">
        <v>15.5</v>
      </c>
      <c r="C20" s="111">
        <v>4.2568403338999996</v>
      </c>
      <c r="D20" s="111">
        <v>1.6108258169519825</v>
      </c>
      <c r="E20" s="173">
        <f>(B20-$B$5)/($N$21)</f>
        <v>34.491480235053288</v>
      </c>
      <c r="F20" s="12">
        <f>Constants!$B$15-E20</f>
        <v>1987.1028048012697</v>
      </c>
      <c r="G20" s="53">
        <f t="shared" si="0"/>
        <v>1.4611711270728169</v>
      </c>
      <c r="J20" s="53"/>
      <c r="K20" s="53"/>
      <c r="L20" s="53"/>
      <c r="M20" s="53"/>
      <c r="N20" s="321" t="s">
        <v>265</v>
      </c>
      <c r="O20" s="323" t="s">
        <v>266</v>
      </c>
      <c r="R20" s="53"/>
      <c r="S20" s="53"/>
      <c r="T20" s="53"/>
      <c r="AD20" s="21"/>
      <c r="AE20" s="21"/>
      <c r="AF20" s="21"/>
    </row>
    <row r="21" spans="1:36">
      <c r="B21" s="111">
        <v>16.5</v>
      </c>
      <c r="C21" s="111">
        <v>4.5256367015500008</v>
      </c>
      <c r="D21" s="111">
        <v>1.4590571433397486</v>
      </c>
      <c r="E21" s="173">
        <f t="shared" si="1"/>
        <v>36.790912250723508</v>
      </c>
      <c r="F21" s="12">
        <f>Constants!$B$15-E21</f>
        <v>1984.8033727855995</v>
      </c>
      <c r="G21" s="53">
        <f t="shared" si="0"/>
        <v>1.5585825355443381</v>
      </c>
      <c r="J21" s="53"/>
      <c r="K21" s="53"/>
      <c r="L21" s="53"/>
      <c r="M21" s="53"/>
      <c r="N21" s="244">
        <f>-Constants!$B$25/O6</f>
        <v>0.43489000465557504</v>
      </c>
      <c r="O21" s="11">
        <f>-Constants!$B$25/O13</f>
        <v>0.11194011657056994</v>
      </c>
      <c r="P21" s="11" t="s">
        <v>270</v>
      </c>
      <c r="R21" s="53"/>
      <c r="S21" s="53"/>
      <c r="T21" s="53"/>
    </row>
    <row r="22" spans="1:36">
      <c r="B22" s="111">
        <v>17.5</v>
      </c>
      <c r="C22" s="111">
        <v>4.7964493217000008</v>
      </c>
      <c r="D22" s="111">
        <v>1.2355267533077858</v>
      </c>
      <c r="E22" s="173">
        <f t="shared" si="1"/>
        <v>39.090344266393728</v>
      </c>
      <c r="F22" s="12">
        <f>Constants!$B$15-E22</f>
        <v>1982.5039407699294</v>
      </c>
      <c r="G22" s="53">
        <f t="shared" si="0"/>
        <v>1.6559939440158593</v>
      </c>
      <c r="J22" s="53"/>
      <c r="K22" s="53"/>
      <c r="L22" s="53"/>
      <c r="M22" s="53"/>
      <c r="N22" s="244"/>
      <c r="R22" s="53"/>
      <c r="S22" s="53"/>
      <c r="T22" s="53"/>
    </row>
    <row r="23" spans="1:36">
      <c r="B23" s="111">
        <v>18.5</v>
      </c>
      <c r="C23" s="111">
        <v>5.068132222900001</v>
      </c>
      <c r="D23" s="111">
        <v>1.1980654825072536</v>
      </c>
      <c r="E23" s="173">
        <f t="shared" si="1"/>
        <v>41.389776282063949</v>
      </c>
      <c r="F23" s="12">
        <f>Constants!$B$15-E23</f>
        <v>1980.2045087542592</v>
      </c>
      <c r="G23" s="53">
        <f t="shared" si="0"/>
        <v>1.7534053524873805</v>
      </c>
      <c r="J23" s="53"/>
      <c r="K23" s="53"/>
      <c r="L23" s="53"/>
      <c r="M23" s="53"/>
      <c r="N23" s="321" t="s">
        <v>267</v>
      </c>
      <c r="O23" s="323" t="s">
        <v>267</v>
      </c>
      <c r="R23" s="53"/>
      <c r="S23" s="53"/>
      <c r="T23" s="53"/>
    </row>
    <row r="24" spans="1:36">
      <c r="B24" s="111">
        <v>19.5</v>
      </c>
      <c r="C24" s="111">
        <v>5.3380710946000001</v>
      </c>
      <c r="D24" s="111">
        <v>1.1852036235164367</v>
      </c>
      <c r="E24" s="173">
        <f t="shared" si="1"/>
        <v>43.689208297734169</v>
      </c>
      <c r="F24" s="12">
        <f>Constants!$B$15-E24</f>
        <v>1977.9050767385888</v>
      </c>
      <c r="G24" s="53">
        <f t="shared" si="0"/>
        <v>1.8508167609589017</v>
      </c>
      <c r="J24" s="53"/>
      <c r="K24" s="53"/>
      <c r="L24" s="53"/>
      <c r="M24" s="53"/>
      <c r="N24" s="244">
        <f>N21*SQRT((-O7/O6)^2+(Constants!B26/Constants!B25)^2)</f>
        <v>1.8423353069361461E-2</v>
      </c>
      <c r="O24" s="11">
        <f>O21*SQRT((-O14/O13)^2+(Constants!B26/Constants!B25)^2)</f>
        <v>8.0215202812180357E-3</v>
      </c>
      <c r="P24" s="11" t="s">
        <v>270</v>
      </c>
      <c r="R24" s="53"/>
      <c r="S24" s="53"/>
      <c r="T24" s="53"/>
    </row>
    <row r="25" spans="1:36">
      <c r="B25" s="111">
        <v>20.5</v>
      </c>
      <c r="C25" s="111">
        <v>5.6348201716500004</v>
      </c>
      <c r="D25" s="111">
        <v>0.86243026941965473</v>
      </c>
      <c r="E25" s="173">
        <f t="shared" si="1"/>
        <v>45.988640313404389</v>
      </c>
      <c r="F25" s="12">
        <f>Constants!$B$15-E25</f>
        <v>1975.6056447229187</v>
      </c>
      <c r="G25" s="53">
        <f t="shared" si="0"/>
        <v>1.9482281694304229</v>
      </c>
      <c r="J25" s="53"/>
      <c r="K25" s="53"/>
      <c r="L25" s="53"/>
      <c r="M25" s="53"/>
      <c r="N25" s="244"/>
      <c r="R25" s="53"/>
      <c r="S25" s="53"/>
      <c r="T25" s="53"/>
    </row>
    <row r="26" spans="1:36">
      <c r="B26" s="111">
        <v>21.5</v>
      </c>
      <c r="C26" s="111">
        <v>5.9607994087999998</v>
      </c>
      <c r="D26" s="111">
        <v>0.82439433583038313</v>
      </c>
      <c r="E26" s="173">
        <f t="shared" si="1"/>
        <v>48.288072329074609</v>
      </c>
      <c r="F26" s="12">
        <f>Constants!$B$15-E26</f>
        <v>1973.3062127072485</v>
      </c>
      <c r="G26" s="53">
        <f t="shared" si="0"/>
        <v>2.0456395779019441</v>
      </c>
      <c r="J26" s="53"/>
      <c r="K26" s="53"/>
      <c r="L26" s="53"/>
      <c r="M26" s="53"/>
      <c r="N26" s="244"/>
      <c r="R26" s="53"/>
      <c r="S26" s="53"/>
      <c r="T26" s="53"/>
    </row>
    <row r="27" spans="1:36" ht="15.5">
      <c r="B27" s="111">
        <v>22.5</v>
      </c>
      <c r="C27" s="111">
        <v>6.2904518314499995</v>
      </c>
      <c r="D27" s="111">
        <v>0.92066945441540804</v>
      </c>
      <c r="E27" s="173">
        <f t="shared" si="1"/>
        <v>50.587504344744829</v>
      </c>
      <c r="F27" s="12">
        <f>Constants!$B$15-E27</f>
        <v>1971.0067806915783</v>
      </c>
      <c r="G27" s="53">
        <f t="shared" si="0"/>
        <v>2.1430509863734652</v>
      </c>
      <c r="J27" s="53"/>
      <c r="K27" s="53"/>
      <c r="L27" s="53"/>
      <c r="M27" s="53"/>
      <c r="N27" s="244"/>
      <c r="R27" s="53"/>
      <c r="S27" s="53"/>
      <c r="T27" s="53"/>
      <c r="AC27" s="21"/>
    </row>
    <row r="28" spans="1:36">
      <c r="B28" s="111">
        <v>23.5</v>
      </c>
      <c r="C28" s="111">
        <v>6.6224317173999996</v>
      </c>
      <c r="D28" s="111">
        <v>1.0692578182822172</v>
      </c>
      <c r="E28" s="173">
        <f t="shared" si="1"/>
        <v>52.886936360415049</v>
      </c>
      <c r="F28" s="12">
        <f>Constants!$B$15-E28</f>
        <v>1968.707348675908</v>
      </c>
      <c r="G28" s="53">
        <f t="shared" si="0"/>
        <v>2.2404623948449864</v>
      </c>
      <c r="H28" s="12"/>
      <c r="J28" s="53"/>
      <c r="K28" s="53"/>
      <c r="L28" s="53"/>
      <c r="M28" s="53"/>
      <c r="N28" s="244"/>
      <c r="R28" s="53"/>
      <c r="S28" s="53"/>
      <c r="T28" s="53"/>
    </row>
    <row r="29" spans="1:36">
      <c r="B29" s="111">
        <v>24.5</v>
      </c>
      <c r="C29" s="111">
        <v>6.9388909965500005</v>
      </c>
      <c r="D29" s="111">
        <v>0.77966152764400454</v>
      </c>
      <c r="E29" s="173">
        <f t="shared" si="1"/>
        <v>55.186368376085262</v>
      </c>
      <c r="F29" s="12">
        <f>Constants!$B$15-E29</f>
        <v>1966.4079166602378</v>
      </c>
      <c r="G29" s="53">
        <f t="shared" si="0"/>
        <v>2.3378738033165072</v>
      </c>
      <c r="H29" s="12"/>
      <c r="J29" s="53"/>
      <c r="K29" s="53"/>
      <c r="L29" s="53"/>
      <c r="M29" s="53"/>
      <c r="N29" s="244"/>
      <c r="R29" s="53"/>
      <c r="S29" s="53"/>
      <c r="T29" s="53"/>
    </row>
    <row r="30" spans="1:36" s="21" customFormat="1" ht="15.5">
      <c r="B30" s="111">
        <v>25.5</v>
      </c>
      <c r="C30" s="111">
        <v>7.2464828845499998</v>
      </c>
      <c r="D30" s="111">
        <v>0.76053002351067511</v>
      </c>
      <c r="E30" s="173">
        <f t="shared" si="1"/>
        <v>57.485800391755483</v>
      </c>
      <c r="F30" s="12">
        <f>Constants!$B$15-E30</f>
        <v>1964.1084846445676</v>
      </c>
      <c r="G30" s="53">
        <f t="shared" si="0"/>
        <v>2.4352852117880284</v>
      </c>
      <c r="H30" s="12"/>
      <c r="I30" s="11"/>
      <c r="J30" s="53"/>
      <c r="K30" s="53"/>
      <c r="L30" s="53"/>
      <c r="M30" s="53"/>
      <c r="N30" s="244"/>
      <c r="O30" s="11"/>
      <c r="P30" s="11"/>
      <c r="Q30" s="11"/>
      <c r="R30" s="53"/>
      <c r="S30" s="53"/>
      <c r="T30" s="53"/>
      <c r="AC30" s="11"/>
      <c r="AD30" s="11"/>
      <c r="AE30" s="11"/>
      <c r="AF30" s="11"/>
      <c r="AH30" s="11"/>
      <c r="AI30" s="11"/>
      <c r="AJ30" s="11"/>
    </row>
    <row r="31" spans="1:36">
      <c r="B31" s="111">
        <v>26.5</v>
      </c>
      <c r="C31" s="111">
        <v>7.5534926540499994</v>
      </c>
      <c r="D31" s="111">
        <v>0.72708479500188083</v>
      </c>
      <c r="E31" s="173">
        <f t="shared" si="1"/>
        <v>59.785232407425703</v>
      </c>
      <c r="F31" s="12">
        <f>Constants!$B$15-E31</f>
        <v>1961.8090526288975</v>
      </c>
      <c r="G31" s="53">
        <f t="shared" si="0"/>
        <v>2.5326966202595496</v>
      </c>
      <c r="H31" s="12"/>
      <c r="J31" s="53"/>
      <c r="K31" s="53"/>
      <c r="L31" s="53"/>
      <c r="M31" s="53"/>
      <c r="N31" s="244"/>
      <c r="R31" s="53"/>
      <c r="S31" s="53"/>
      <c r="T31" s="53"/>
    </row>
    <row r="32" spans="1:36">
      <c r="B32" s="111">
        <v>27.5</v>
      </c>
      <c r="C32" s="111">
        <v>7.8596958605499996</v>
      </c>
      <c r="D32" s="111">
        <v>0.68025220005111386</v>
      </c>
      <c r="E32" s="298">
        <f t="shared" ref="E32:E39" si="2">(B32-$B$31)/($O$21)+$E$31</f>
        <v>68.718580260155278</v>
      </c>
      <c r="F32" s="12">
        <f>Constants!$B$15-E32</f>
        <v>1952.8757047761678</v>
      </c>
      <c r="G32" s="329">
        <f>E32*($O$24/$O$21)</f>
        <v>4.9243068717534957</v>
      </c>
      <c r="H32" s="12"/>
      <c r="J32" s="53"/>
      <c r="K32" s="53"/>
      <c r="L32" s="53"/>
      <c r="M32" s="53"/>
      <c r="N32" s="244"/>
      <c r="R32" s="53"/>
      <c r="S32" s="53"/>
      <c r="T32" s="53"/>
    </row>
    <row r="33" spans="2:29">
      <c r="B33" s="111">
        <v>28.5</v>
      </c>
      <c r="C33" s="111">
        <v>8.1673303279000002</v>
      </c>
      <c r="D33" s="111">
        <v>0.23919971647555693</v>
      </c>
      <c r="E33" s="298">
        <f t="shared" si="2"/>
        <v>77.65192811288486</v>
      </c>
      <c r="F33" s="12">
        <f>Constants!$B$15-E33</f>
        <v>1943.9423569234382</v>
      </c>
      <c r="G33" s="329">
        <f t="shared" ref="G33:G39" si="3">E33*($O$24/$O$21)</f>
        <v>5.564461922285985</v>
      </c>
      <c r="H33" s="12"/>
      <c r="J33" s="53"/>
      <c r="K33" s="53"/>
      <c r="L33" s="53"/>
      <c r="M33" s="53"/>
      <c r="N33" s="244"/>
      <c r="R33" s="53"/>
      <c r="S33" s="53"/>
      <c r="T33" s="53"/>
    </row>
    <row r="34" spans="2:29">
      <c r="B34" s="111">
        <v>29.5</v>
      </c>
      <c r="C34" s="111">
        <v>8.4825684370000012</v>
      </c>
      <c r="D34" s="111">
        <v>0.1224161047860126</v>
      </c>
      <c r="E34" s="298">
        <f t="shared" si="2"/>
        <v>86.585275965614443</v>
      </c>
      <c r="F34" s="12">
        <f>Constants!$B$15-E34</f>
        <v>1935.0090090707085</v>
      </c>
      <c r="G34" s="329">
        <f t="shared" si="3"/>
        <v>6.2046169728184744</v>
      </c>
      <c r="H34" s="12"/>
      <c r="J34" s="53"/>
      <c r="K34" s="53"/>
      <c r="L34" s="53"/>
      <c r="M34" s="53"/>
      <c r="N34" s="244"/>
      <c r="R34" s="53"/>
      <c r="S34" s="53"/>
      <c r="T34" s="53"/>
    </row>
    <row r="35" spans="2:29">
      <c r="B35" s="111">
        <v>30.5</v>
      </c>
      <c r="C35" s="111">
        <v>8.8118726478000013</v>
      </c>
      <c r="D35" s="111">
        <v>3.6684865308458867E-2</v>
      </c>
      <c r="E35" s="298">
        <f t="shared" si="2"/>
        <v>95.518623818344025</v>
      </c>
      <c r="F35" s="12">
        <f>Constants!$B$15-E35</f>
        <v>1926.0756612179791</v>
      </c>
      <c r="G35" s="329">
        <f t="shared" si="3"/>
        <v>6.8447720233509637</v>
      </c>
      <c r="H35" s="12"/>
      <c r="M35" s="53"/>
      <c r="N35" s="244"/>
      <c r="R35" s="53"/>
      <c r="S35" s="53"/>
      <c r="T35" s="53"/>
    </row>
    <row r="36" spans="2:29">
      <c r="B36" s="111">
        <v>31.5</v>
      </c>
      <c r="C36" s="111">
        <v>9.1283870904000004</v>
      </c>
      <c r="D36" s="111">
        <v>-0.4145363243241581</v>
      </c>
      <c r="E36" s="298">
        <f t="shared" si="2"/>
        <v>104.45197167107361</v>
      </c>
      <c r="F36" s="12">
        <f>Constants!$B$15-E36</f>
        <v>1917.1423133652495</v>
      </c>
      <c r="G36" s="329">
        <f t="shared" si="3"/>
        <v>7.484927073883453</v>
      </c>
      <c r="H36" s="12"/>
      <c r="N36" s="244"/>
    </row>
    <row r="37" spans="2:29" ht="15.5">
      <c r="B37" s="12">
        <v>32.5</v>
      </c>
      <c r="C37" s="20">
        <v>9.4312572597499997</v>
      </c>
      <c r="D37" s="219">
        <v>-0.56884075923515875</v>
      </c>
      <c r="E37" s="298">
        <f t="shared" si="2"/>
        <v>113.38531952380319</v>
      </c>
      <c r="F37" s="12">
        <f>Constants!$B$15-E37</f>
        <v>1908.2089655125199</v>
      </c>
      <c r="G37" s="329">
        <f t="shared" si="3"/>
        <v>8.1250821244159415</v>
      </c>
      <c r="H37" s="12"/>
      <c r="N37" s="245"/>
    </row>
    <row r="38" spans="2:29" ht="20">
      <c r="B38" s="12">
        <v>33.5</v>
      </c>
      <c r="C38" s="11">
        <v>9.7299205507999993</v>
      </c>
      <c r="D38" s="11">
        <v>-1.0623747812328508</v>
      </c>
      <c r="E38" s="298">
        <f t="shared" si="2"/>
        <v>122.31866737653277</v>
      </c>
      <c r="F38" s="12">
        <f>Constants!$B$15-E38</f>
        <v>1899.2756176597902</v>
      </c>
      <c r="G38" s="329">
        <f t="shared" si="3"/>
        <v>8.7652371749484317</v>
      </c>
      <c r="H38" s="12"/>
      <c r="I38" s="89"/>
      <c r="K38" s="247"/>
      <c r="N38" s="245"/>
      <c r="AC38" s="21"/>
    </row>
    <row r="39" spans="2:29">
      <c r="B39" s="12">
        <v>34.5</v>
      </c>
      <c r="C39" s="11">
        <v>10.02816742325</v>
      </c>
      <c r="D39" s="11">
        <v>-1.3719161499738748</v>
      </c>
      <c r="E39" s="298">
        <f t="shared" si="2"/>
        <v>131.25201522926235</v>
      </c>
      <c r="F39" s="12">
        <f>Constants!$B$15-E39</f>
        <v>1890.3422698070608</v>
      </c>
      <c r="G39" s="329">
        <f t="shared" si="3"/>
        <v>9.4053922254809201</v>
      </c>
      <c r="H39" s="12"/>
      <c r="N39" s="245"/>
    </row>
    <row r="40" spans="2:29">
      <c r="B40" s="12"/>
      <c r="F40" s="173"/>
      <c r="G40" s="12"/>
      <c r="H40" s="12"/>
      <c r="N40" s="245"/>
    </row>
    <row r="41" spans="2:29">
      <c r="B41" s="12"/>
      <c r="F41" s="173"/>
      <c r="G41" s="12"/>
      <c r="H41" s="12"/>
      <c r="N41" s="245"/>
    </row>
    <row r="42" spans="2:29">
      <c r="B42" s="327" t="s">
        <v>209</v>
      </c>
      <c r="F42" s="173"/>
      <c r="G42" s="326" t="s">
        <v>262</v>
      </c>
      <c r="H42" s="12"/>
      <c r="N42" s="245"/>
    </row>
    <row r="43" spans="2:29">
      <c r="B43" s="11" t="s">
        <v>190</v>
      </c>
      <c r="C43" s="11" cm="1">
        <f t="array" ref="C43:D47">LINEST(D5:D32,C5:C32, TRUE,TRUE)</f>
        <v>-0.25240706743898872</v>
      </c>
      <c r="D43" s="11">
        <v>2.5433457935798707</v>
      </c>
      <c r="E43" s="11" t="s">
        <v>191</v>
      </c>
      <c r="F43" s="173"/>
      <c r="G43" s="11" t="s">
        <v>190</v>
      </c>
      <c r="H43" s="311" cm="1">
        <f t="array" ref="H43:I47">LINEST(D32:D39,C32:C39, TRUE,TRUE)</f>
        <v>-0.89252948023539569</v>
      </c>
      <c r="I43" s="11">
        <v>7.7001228066308656</v>
      </c>
      <c r="J43" s="11" t="s">
        <v>191</v>
      </c>
      <c r="N43" s="245"/>
    </row>
    <row r="44" spans="2:29">
      <c r="B44" s="11" t="s">
        <v>259</v>
      </c>
      <c r="C44" s="11">
        <v>1.1052576714642328E-2</v>
      </c>
      <c r="D44" s="11">
        <v>4.9948737772162986E-2</v>
      </c>
      <c r="E44" s="11" t="s">
        <v>259</v>
      </c>
      <c r="F44" s="173"/>
      <c r="G44" s="11" t="s">
        <v>259</v>
      </c>
      <c r="H44" s="311">
        <v>6.8328442500650358E-2</v>
      </c>
      <c r="I44" s="11">
        <v>0.61381361378471311</v>
      </c>
      <c r="J44" s="11" t="s">
        <v>259</v>
      </c>
      <c r="N44" s="245"/>
    </row>
    <row r="45" spans="2:29">
      <c r="B45" s="11" t="s">
        <v>260</v>
      </c>
      <c r="C45" s="11">
        <v>0.95251366867540821</v>
      </c>
      <c r="D45" s="11">
        <v>0.13394275065093231</v>
      </c>
      <c r="E45" s="11" t="s">
        <v>260</v>
      </c>
      <c r="F45" s="173"/>
      <c r="G45" s="11" t="s">
        <v>260</v>
      </c>
      <c r="H45" s="12">
        <v>0.96602968109842513</v>
      </c>
      <c r="I45" s="11">
        <v>0.13789597003880136</v>
      </c>
      <c r="J45" s="11" t="s">
        <v>260</v>
      </c>
      <c r="N45" s="245"/>
    </row>
    <row r="46" spans="2:29">
      <c r="B46" s="11" t="s">
        <v>198</v>
      </c>
      <c r="C46" s="11">
        <v>521.52597799727971</v>
      </c>
      <c r="D46" s="11">
        <v>26</v>
      </c>
      <c r="E46" s="11" t="s">
        <v>198</v>
      </c>
      <c r="F46" s="173"/>
      <c r="G46" s="11" t="s">
        <v>198</v>
      </c>
      <c r="H46" s="12">
        <v>170.62477698205674</v>
      </c>
      <c r="I46" s="11">
        <v>6</v>
      </c>
      <c r="J46" s="11" t="s">
        <v>198</v>
      </c>
      <c r="N46" s="245"/>
    </row>
    <row r="47" spans="2:29" ht="17.5">
      <c r="B47" s="11" t="s">
        <v>261</v>
      </c>
      <c r="C47" s="11">
        <v>9.3565204881139934</v>
      </c>
      <c r="D47" s="11">
        <v>0.46645717175038354</v>
      </c>
      <c r="E47" s="11" t="s">
        <v>261</v>
      </c>
      <c r="G47" s="11" t="s">
        <v>261</v>
      </c>
      <c r="H47" s="12">
        <v>3.2444810748429553</v>
      </c>
      <c r="I47" s="11">
        <v>0.11409179131765201</v>
      </c>
      <c r="J47" s="11" t="s">
        <v>261</v>
      </c>
      <c r="P47" s="174"/>
      <c r="Q47" s="21"/>
      <c r="R47" s="21"/>
    </row>
    <row r="48" spans="2:29" ht="20">
      <c r="P48" s="174"/>
      <c r="Q48" s="21"/>
      <c r="R48" s="21"/>
      <c r="S48" s="247"/>
      <c r="T48" s="247"/>
      <c r="U48" s="247"/>
    </row>
    <row r="49" spans="2:29">
      <c r="H49" s="323" t="s">
        <v>269</v>
      </c>
      <c r="I49" s="325"/>
      <c r="J49" s="325"/>
      <c r="K49" s="325"/>
      <c r="P49" s="33"/>
      <c r="Q49" s="33"/>
      <c r="R49" s="33"/>
    </row>
    <row r="50" spans="2:29" ht="17.5">
      <c r="B50" s="248"/>
      <c r="F50" s="220"/>
      <c r="H50" s="330" t="s">
        <v>103</v>
      </c>
      <c r="Q50" s="13"/>
      <c r="R50" s="13"/>
    </row>
    <row r="51" spans="2:29" ht="15.5">
      <c r="B51" s="249"/>
      <c r="C51" s="249"/>
      <c r="D51" s="249"/>
      <c r="E51" s="249"/>
      <c r="F51" s="220"/>
      <c r="H51" s="272">
        <f>-Constants!$B$25/CFCS!H43</f>
        <v>3.4935215662027293E-2</v>
      </c>
      <c r="I51" s="250" t="s">
        <v>202</v>
      </c>
      <c r="Q51" s="13"/>
      <c r="R51" s="13"/>
    </row>
    <row r="52" spans="2:29" ht="15">
      <c r="B52" s="249"/>
      <c r="C52" s="249"/>
      <c r="D52" s="249"/>
      <c r="E52" s="249"/>
      <c r="F52" s="220"/>
      <c r="H52" s="331" t="s">
        <v>263</v>
      </c>
    </row>
    <row r="53" spans="2:29" ht="15.5">
      <c r="B53" s="249"/>
      <c r="C53" s="249"/>
      <c r="D53" s="249"/>
      <c r="E53" s="249"/>
      <c r="F53" s="220"/>
      <c r="H53" s="272">
        <f>H51*SQRT((H44/H43)^2+(Constants!B26/Constants!B25)^2)</f>
        <v>2.6811391090768226E-3</v>
      </c>
      <c r="I53" s="250" t="s">
        <v>202</v>
      </c>
      <c r="Q53" s="111"/>
    </row>
    <row r="54" spans="2:29" ht="15">
      <c r="B54" s="249"/>
      <c r="C54" s="249"/>
      <c r="D54" s="249"/>
      <c r="E54" s="249"/>
      <c r="F54" s="220"/>
      <c r="H54" s="272"/>
      <c r="Q54" s="111"/>
      <c r="W54" s="53"/>
      <c r="X54" s="53"/>
      <c r="Y54" s="53"/>
      <c r="Z54" s="53"/>
      <c r="AA54" s="53"/>
      <c r="AB54" s="53"/>
    </row>
    <row r="55" spans="2:29" ht="15">
      <c r="B55" s="249"/>
      <c r="C55" s="249"/>
      <c r="D55" s="249"/>
      <c r="E55" s="249"/>
      <c r="F55" s="220"/>
      <c r="H55" s="322" t="s">
        <v>268</v>
      </c>
      <c r="W55" s="53"/>
      <c r="X55" s="53"/>
      <c r="Y55" s="53"/>
      <c r="Z55" s="53"/>
      <c r="AA55" s="53"/>
      <c r="AB55" s="53"/>
      <c r="AC55" s="53"/>
    </row>
    <row r="56" spans="2:29" ht="15">
      <c r="B56" s="249"/>
      <c r="C56" s="249"/>
      <c r="D56" s="249"/>
      <c r="E56" s="249"/>
      <c r="F56" s="220"/>
      <c r="H56" s="252" t="s">
        <v>103</v>
      </c>
      <c r="W56" s="53"/>
      <c r="X56" s="53"/>
      <c r="Y56" s="53"/>
      <c r="Z56" s="53"/>
      <c r="AA56" s="53"/>
      <c r="AB56" s="53"/>
      <c r="AC56" s="53"/>
    </row>
    <row r="57" spans="2:29" ht="17.5">
      <c r="C57" s="174"/>
      <c r="D57" s="220"/>
      <c r="E57" s="220"/>
      <c r="F57" s="220"/>
      <c r="H57" s="272">
        <f>-Constants!$B$25/C43</f>
        <v>0.12353342635414759</v>
      </c>
      <c r="I57" s="250" t="s">
        <v>202</v>
      </c>
      <c r="W57" s="53"/>
      <c r="X57" s="53"/>
      <c r="Y57" s="53"/>
      <c r="Z57" s="53"/>
      <c r="AA57" s="53"/>
      <c r="AB57" s="53"/>
      <c r="AC57" s="53"/>
    </row>
    <row r="58" spans="2:29" ht="17.5">
      <c r="D58" s="220"/>
      <c r="E58" s="220"/>
      <c r="F58" s="220"/>
      <c r="H58" s="272" t="s">
        <v>263</v>
      </c>
      <c r="M58" s="53"/>
      <c r="O58" s="53"/>
      <c r="P58" s="174"/>
      <c r="Q58" s="21"/>
      <c r="R58" s="21"/>
      <c r="W58" s="53"/>
      <c r="X58" s="53"/>
      <c r="Y58" s="53"/>
      <c r="Z58" s="53"/>
      <c r="AA58" s="53"/>
      <c r="AB58" s="53"/>
      <c r="AC58" s="53"/>
    </row>
    <row r="59" spans="2:29" ht="15.5">
      <c r="D59" s="220"/>
      <c r="E59" s="220"/>
      <c r="F59" s="220"/>
      <c r="H59" s="272">
        <f>H57*SQRT((C44/C43)^2+(Constants!B26/Constants!B25)^2)</f>
        <v>5.4503160846656783E-3</v>
      </c>
      <c r="I59" s="250" t="s">
        <v>202</v>
      </c>
      <c r="M59" s="53"/>
      <c r="O59" s="53"/>
      <c r="P59" s="33"/>
      <c r="Q59" s="33"/>
      <c r="R59" s="33"/>
      <c r="W59" s="53"/>
      <c r="X59" s="53"/>
      <c r="Y59" s="53"/>
      <c r="Z59" s="53"/>
      <c r="AA59" s="53"/>
      <c r="AB59" s="53"/>
      <c r="AC59" s="53"/>
    </row>
    <row r="60" spans="2:29">
      <c r="D60" s="220"/>
      <c r="E60" s="220"/>
      <c r="F60" s="220"/>
      <c r="H60" s="272"/>
      <c r="M60" s="53"/>
      <c r="O60" s="53"/>
      <c r="Q60" s="13"/>
      <c r="R60" s="13"/>
      <c r="W60" s="53"/>
      <c r="X60" s="53"/>
      <c r="Y60" s="53"/>
      <c r="Z60" s="53"/>
      <c r="AA60" s="53"/>
      <c r="AB60" s="53"/>
      <c r="AC60" s="53"/>
    </row>
    <row r="61" spans="2:29" ht="15">
      <c r="B61" s="249"/>
      <c r="C61" s="177"/>
      <c r="D61" s="220"/>
      <c r="E61" s="220"/>
      <c r="F61" s="220"/>
      <c r="H61" s="272"/>
      <c r="M61" s="53"/>
      <c r="O61" s="53"/>
      <c r="Q61" s="13"/>
      <c r="R61" s="13"/>
      <c r="W61" s="53"/>
      <c r="X61" s="53"/>
      <c r="Y61" s="53"/>
      <c r="Z61" s="53"/>
      <c r="AA61" s="53"/>
    </row>
    <row r="62" spans="2:29">
      <c r="B62" s="33"/>
      <c r="C62" s="33"/>
      <c r="D62" s="220"/>
      <c r="E62" s="220"/>
      <c r="F62" s="220"/>
      <c r="H62" s="272"/>
      <c r="M62" s="53"/>
      <c r="O62" s="53"/>
      <c r="W62" s="53"/>
      <c r="X62" s="53"/>
      <c r="Y62" s="53"/>
      <c r="Z62" s="53"/>
      <c r="AA62" s="53"/>
      <c r="AB62" s="53"/>
      <c r="AC62" s="53"/>
    </row>
    <row r="63" spans="2:29">
      <c r="C63" s="13"/>
      <c r="D63" s="220"/>
      <c r="E63" s="220"/>
      <c r="F63" s="220"/>
      <c r="H63" s="272"/>
      <c r="M63" s="53"/>
      <c r="O63" s="53"/>
      <c r="Q63" s="111"/>
      <c r="W63" s="53"/>
      <c r="X63" s="53"/>
      <c r="Y63" s="53"/>
      <c r="Z63" s="53"/>
      <c r="AA63" s="53"/>
      <c r="AB63" s="53"/>
      <c r="AC63" s="53"/>
    </row>
    <row r="64" spans="2:29">
      <c r="C64" s="13"/>
      <c r="D64" s="220"/>
      <c r="E64" s="220"/>
      <c r="F64" s="220"/>
      <c r="H64" s="272"/>
      <c r="M64" s="53"/>
      <c r="O64" s="53"/>
      <c r="Q64" s="111"/>
      <c r="W64" s="53"/>
      <c r="X64" s="53"/>
      <c r="Y64" s="53"/>
      <c r="Z64" s="53"/>
      <c r="AA64" s="53"/>
      <c r="AB64" s="53"/>
      <c r="AC64" s="53"/>
    </row>
    <row r="65" spans="3:29">
      <c r="D65" s="220"/>
      <c r="E65" s="220"/>
      <c r="F65" s="220"/>
      <c r="H65" s="272"/>
      <c r="I65" s="89"/>
      <c r="M65" s="53"/>
      <c r="O65" s="53"/>
      <c r="P65" s="53"/>
      <c r="Q65" s="53"/>
      <c r="R65" s="53"/>
      <c r="W65" s="53"/>
      <c r="X65" s="53"/>
      <c r="Y65" s="53"/>
      <c r="Z65" s="53"/>
      <c r="AA65" s="53"/>
      <c r="AB65" s="53"/>
      <c r="AC65" s="53"/>
    </row>
    <row r="66" spans="3:29">
      <c r="C66" s="13"/>
      <c r="D66" s="220"/>
      <c r="E66" s="220"/>
      <c r="F66" s="220"/>
      <c r="H66" s="272"/>
      <c r="M66" s="53"/>
      <c r="O66" s="53"/>
      <c r="P66" s="53"/>
      <c r="Q66" s="53"/>
      <c r="R66" s="53"/>
      <c r="W66" s="53"/>
      <c r="X66" s="53"/>
      <c r="Y66" s="53"/>
      <c r="Z66" s="53"/>
      <c r="AA66" s="53"/>
      <c r="AB66" s="53"/>
      <c r="AC66" s="53"/>
    </row>
    <row r="67" spans="3:29">
      <c r="C67" s="13"/>
      <c r="H67" s="272"/>
      <c r="M67" s="53"/>
      <c r="O67" s="53"/>
      <c r="P67" s="53"/>
      <c r="Q67" s="53"/>
      <c r="R67" s="53"/>
      <c r="W67" s="53"/>
      <c r="X67" s="53"/>
      <c r="Y67" s="53"/>
      <c r="Z67" s="53"/>
      <c r="AA67" s="53"/>
      <c r="AB67" s="53"/>
      <c r="AC67" s="53"/>
    </row>
    <row r="68" spans="3:29">
      <c r="H68" s="272"/>
      <c r="M68" s="53"/>
      <c r="O68" s="53"/>
      <c r="P68" s="53"/>
      <c r="Q68" s="53"/>
      <c r="R68" s="53"/>
      <c r="W68" s="53"/>
      <c r="X68" s="53"/>
      <c r="Y68" s="53"/>
      <c r="Z68" s="53"/>
      <c r="AA68" s="53"/>
      <c r="AB68" s="53"/>
      <c r="AC68" s="53"/>
    </row>
    <row r="69" spans="3:29">
      <c r="H69" s="272"/>
      <c r="M69" s="53"/>
      <c r="O69" s="53"/>
      <c r="P69" s="53"/>
      <c r="Q69" s="53"/>
      <c r="R69" s="53"/>
      <c r="W69" s="53"/>
      <c r="X69" s="53"/>
      <c r="Y69" s="53"/>
      <c r="Z69" s="53"/>
      <c r="AA69" s="53"/>
      <c r="AB69" s="53"/>
      <c r="AC69" s="53"/>
    </row>
    <row r="70" spans="3:29">
      <c r="H70" s="272"/>
      <c r="M70" s="53"/>
      <c r="N70" s="53"/>
      <c r="O70" s="53"/>
      <c r="P70" s="53"/>
      <c r="Q70" s="53"/>
      <c r="W70" s="53"/>
      <c r="X70" s="53"/>
      <c r="Y70" s="53"/>
      <c r="Z70" s="53"/>
      <c r="AA70" s="53"/>
      <c r="AB70" s="53"/>
      <c r="AC70" s="53"/>
    </row>
    <row r="71" spans="3:29" ht="20">
      <c r="H71" s="272"/>
      <c r="M71" s="53"/>
      <c r="N71" s="53"/>
      <c r="O71" s="53"/>
      <c r="P71" s="53"/>
      <c r="Q71" s="53"/>
      <c r="S71" s="247"/>
      <c r="T71" s="247"/>
      <c r="W71" s="53"/>
      <c r="X71" s="53"/>
      <c r="Y71" s="53"/>
      <c r="Z71" s="53"/>
      <c r="AA71" s="53"/>
      <c r="AB71" s="53"/>
      <c r="AC71" s="53"/>
    </row>
    <row r="72" spans="3:29">
      <c r="H72" s="272"/>
      <c r="M72" s="53"/>
      <c r="N72" s="53"/>
      <c r="O72" s="53"/>
      <c r="P72" s="53"/>
      <c r="Q72" s="53"/>
      <c r="W72" s="53"/>
      <c r="X72" s="53"/>
      <c r="Y72" s="53"/>
      <c r="Z72" s="53"/>
      <c r="AA72" s="53"/>
      <c r="AB72" s="53"/>
      <c r="AC72" s="53"/>
    </row>
    <row r="73" spans="3:29">
      <c r="H73" s="272"/>
      <c r="M73" s="53"/>
      <c r="N73" s="53"/>
      <c r="O73" s="53"/>
      <c r="P73" s="53"/>
      <c r="Q73" s="53"/>
      <c r="W73" s="53"/>
      <c r="X73" s="53"/>
      <c r="Y73" s="53"/>
      <c r="Z73" s="53"/>
      <c r="AA73" s="53"/>
      <c r="AB73" s="53"/>
      <c r="AC73" s="53"/>
    </row>
    <row r="74" spans="3:29">
      <c r="C74" s="111"/>
      <c r="H74" s="272"/>
      <c r="M74" s="53"/>
      <c r="N74" s="53"/>
      <c r="O74" s="53"/>
      <c r="P74" s="53"/>
      <c r="Q74" s="53"/>
      <c r="W74" s="53"/>
      <c r="X74" s="53"/>
      <c r="Y74" s="53"/>
      <c r="Z74" s="53"/>
      <c r="AA74" s="53"/>
      <c r="AB74" s="53"/>
      <c r="AC74" s="53"/>
    </row>
    <row r="75" spans="3:29">
      <c r="H75" s="272"/>
      <c r="M75" s="53"/>
      <c r="N75" s="53"/>
      <c r="O75" s="53"/>
      <c r="P75" s="53"/>
      <c r="Q75" s="53"/>
      <c r="W75" s="53"/>
      <c r="X75" s="53"/>
      <c r="Y75" s="53"/>
      <c r="Z75" s="53"/>
      <c r="AA75" s="53"/>
      <c r="AB75" s="53"/>
      <c r="AC75" s="53"/>
    </row>
    <row r="76" spans="3:29">
      <c r="H76" s="272"/>
      <c r="M76" s="53"/>
      <c r="N76" s="53"/>
      <c r="O76" s="53"/>
      <c r="P76" s="53"/>
      <c r="Q76" s="53"/>
      <c r="W76" s="53"/>
      <c r="X76" s="53"/>
      <c r="Y76" s="53"/>
      <c r="Z76" s="53"/>
      <c r="AA76" s="53"/>
      <c r="AB76" s="53"/>
      <c r="AC76" s="53"/>
    </row>
    <row r="77" spans="3:29">
      <c r="H77" s="272"/>
      <c r="M77" s="53"/>
      <c r="N77" s="53"/>
      <c r="O77" s="53"/>
      <c r="P77" s="53"/>
      <c r="Q77" s="53"/>
      <c r="W77" s="53"/>
      <c r="X77" s="53"/>
      <c r="Y77" s="53"/>
      <c r="Z77" s="53"/>
      <c r="AA77" s="53"/>
      <c r="AB77" s="53"/>
      <c r="AC77" s="53"/>
    </row>
    <row r="78" spans="3:29">
      <c r="H78" s="272"/>
      <c r="M78" s="53"/>
      <c r="N78" s="53"/>
      <c r="O78" s="53"/>
      <c r="P78" s="53"/>
      <c r="Q78" s="53"/>
      <c r="W78" s="53"/>
      <c r="X78" s="53"/>
      <c r="Y78" s="53"/>
      <c r="Z78" s="53"/>
      <c r="AA78" s="53"/>
      <c r="AB78" s="53"/>
      <c r="AC78" s="53"/>
    </row>
    <row r="79" spans="3:29">
      <c r="H79" s="272"/>
      <c r="M79" s="53"/>
      <c r="N79" s="53"/>
      <c r="O79" s="53"/>
      <c r="P79" s="53"/>
      <c r="Q79" s="53"/>
      <c r="W79" s="53"/>
      <c r="X79" s="53"/>
      <c r="Y79" s="53"/>
      <c r="Z79" s="53"/>
      <c r="AA79" s="53"/>
      <c r="AB79" s="53"/>
      <c r="AC79" s="53"/>
    </row>
    <row r="80" spans="3:29">
      <c r="H80" s="252"/>
      <c r="M80" s="53"/>
      <c r="N80" s="53"/>
      <c r="O80" s="53"/>
      <c r="P80" s="53"/>
      <c r="Q80" s="53"/>
      <c r="W80" s="53"/>
      <c r="X80" s="53"/>
      <c r="Y80" s="53"/>
      <c r="Z80" s="53"/>
      <c r="AA80" s="53"/>
      <c r="AB80" s="53"/>
      <c r="AC80" s="53"/>
    </row>
    <row r="81" spans="8:29">
      <c r="H81" s="53"/>
      <c r="O81" s="53"/>
      <c r="P81" s="53"/>
      <c r="Q81" s="53"/>
      <c r="W81" s="53"/>
      <c r="X81" s="53"/>
      <c r="Y81" s="53"/>
      <c r="Z81" s="53"/>
      <c r="AA81" s="53"/>
      <c r="AB81" s="53"/>
      <c r="AC81" s="53"/>
    </row>
    <row r="82" spans="8:29">
      <c r="P82" s="53"/>
      <c r="W82" s="53"/>
      <c r="X82" s="53"/>
      <c r="Y82" s="53"/>
      <c r="Z82" s="53"/>
      <c r="AA82" s="53"/>
      <c r="AB82" s="53"/>
      <c r="AC82" s="53"/>
    </row>
    <row r="83" spans="8:29">
      <c r="P83" s="53"/>
      <c r="W83" s="53"/>
      <c r="X83" s="53"/>
      <c r="Y83" s="53"/>
      <c r="Z83" s="53"/>
      <c r="AA83" s="53"/>
      <c r="AB83" s="53"/>
      <c r="AC83" s="53"/>
    </row>
    <row r="84" spans="8:29">
      <c r="P84" s="53"/>
      <c r="W84" s="53"/>
      <c r="X84" s="53"/>
      <c r="Y84" s="53"/>
      <c r="Z84" s="53"/>
      <c r="AA84" s="53"/>
      <c r="AB84" s="53"/>
      <c r="AC84" s="53"/>
    </row>
    <row r="85" spans="8:29">
      <c r="P85" s="53"/>
      <c r="W85" s="53"/>
      <c r="X85" s="53"/>
      <c r="Y85" s="53"/>
      <c r="Z85" s="53"/>
      <c r="AA85" s="53"/>
      <c r="AB85" s="53"/>
      <c r="AC85" s="53"/>
    </row>
    <row r="86" spans="8:29">
      <c r="P86" s="53"/>
      <c r="W86" s="53"/>
      <c r="X86" s="53"/>
      <c r="Y86" s="53"/>
      <c r="Z86" s="53"/>
      <c r="AA86" s="53"/>
      <c r="AB86" s="53"/>
      <c r="AC86" s="53"/>
    </row>
    <row r="87" spans="8:29">
      <c r="P87" s="53"/>
      <c r="W87" s="53"/>
      <c r="X87" s="53"/>
      <c r="Y87" s="53"/>
      <c r="Z87" s="53"/>
      <c r="AA87" s="53"/>
      <c r="AB87" s="53"/>
      <c r="AC87" s="53"/>
    </row>
    <row r="88" spans="8:29">
      <c r="P88" s="53"/>
      <c r="W88" s="53"/>
      <c r="X88" s="53"/>
      <c r="Y88" s="53"/>
      <c r="Z88" s="53"/>
      <c r="AA88" s="53"/>
      <c r="AB88" s="53"/>
      <c r="AC88" s="53"/>
    </row>
    <row r="89" spans="8:29">
      <c r="W89" s="53"/>
      <c r="X89" s="53"/>
      <c r="Y89" s="53"/>
      <c r="Z89" s="53"/>
      <c r="AA89" s="53"/>
      <c r="AB89" s="53"/>
      <c r="AC89" s="53"/>
    </row>
    <row r="90" spans="8:29">
      <c r="W90" s="53"/>
      <c r="X90" s="53"/>
      <c r="Y90" s="53"/>
      <c r="Z90" s="53"/>
      <c r="AA90" s="53"/>
      <c r="AB90" s="53"/>
      <c r="AC90" s="53"/>
    </row>
    <row r="91" spans="8:29">
      <c r="W91" s="53"/>
      <c r="X91" s="53"/>
      <c r="Y91" s="53"/>
      <c r="Z91" s="53"/>
      <c r="AA91" s="53"/>
      <c r="AB91" s="53"/>
      <c r="AC91" s="53"/>
    </row>
    <row r="92" spans="8:29">
      <c r="W92" s="53"/>
      <c r="X92" s="53"/>
      <c r="Y92" s="53"/>
      <c r="Z92" s="53"/>
      <c r="AA92" s="53"/>
      <c r="AB92" s="53"/>
      <c r="AC92" s="53"/>
    </row>
    <row r="93" spans="8:29">
      <c r="W93" s="53"/>
      <c r="X93" s="53"/>
      <c r="Y93" s="53"/>
      <c r="Z93" s="53"/>
      <c r="AA93" s="53"/>
      <c r="AB93" s="53"/>
      <c r="AC93" s="53"/>
    </row>
    <row r="94" spans="8:29" ht="20">
      <c r="S94" s="247"/>
      <c r="W94" s="53"/>
      <c r="X94" s="53"/>
      <c r="Y94" s="53"/>
      <c r="Z94" s="53"/>
      <c r="AA94" s="53"/>
      <c r="AB94" s="53"/>
      <c r="AC94" s="53"/>
    </row>
    <row r="95" spans="8:29">
      <c r="W95" s="53"/>
      <c r="X95" s="53"/>
      <c r="Y95" s="53"/>
      <c r="Z95" s="53"/>
      <c r="AA95" s="53"/>
      <c r="AB95" s="53"/>
      <c r="AC95" s="53"/>
    </row>
    <row r="96" spans="8:29">
      <c r="W96" s="53"/>
      <c r="X96" s="53"/>
      <c r="Y96" s="53"/>
      <c r="Z96" s="53"/>
      <c r="AA96" s="53"/>
      <c r="AB96" s="53"/>
      <c r="AC96" s="53"/>
    </row>
    <row r="97" spans="13:29">
      <c r="W97" s="53"/>
      <c r="X97" s="53"/>
      <c r="Y97" s="53"/>
      <c r="Z97" s="53"/>
      <c r="AA97" s="53"/>
      <c r="AB97" s="53"/>
      <c r="AC97" s="53"/>
    </row>
    <row r="98" spans="13:29">
      <c r="W98" s="53"/>
      <c r="X98" s="53"/>
      <c r="Y98" s="53"/>
      <c r="Z98" s="53"/>
      <c r="AA98" s="53"/>
      <c r="AB98" s="53"/>
      <c r="AC98" s="53"/>
    </row>
    <row r="99" spans="13:29">
      <c r="W99" s="53"/>
      <c r="X99" s="53"/>
      <c r="Y99" s="53"/>
      <c r="Z99" s="53"/>
      <c r="AA99" s="53"/>
      <c r="AB99" s="53"/>
      <c r="AC99" s="53"/>
    </row>
    <row r="100" spans="13:29">
      <c r="P100" s="111"/>
      <c r="W100" s="53"/>
      <c r="X100" s="53"/>
      <c r="Y100" s="53"/>
      <c r="Z100" s="53"/>
      <c r="AA100" s="53"/>
      <c r="AB100" s="53"/>
      <c r="AC100" s="53"/>
    </row>
    <row r="101" spans="13:29">
      <c r="W101" s="53"/>
      <c r="X101" s="53"/>
      <c r="Y101" s="53"/>
      <c r="Z101" s="53"/>
      <c r="AA101" s="53"/>
      <c r="AB101" s="53"/>
    </row>
    <row r="102" spans="13:29">
      <c r="W102" s="53"/>
      <c r="X102" s="53"/>
      <c r="Y102" s="53"/>
      <c r="Z102" s="53"/>
      <c r="AA102" s="53"/>
      <c r="AB102" s="53"/>
    </row>
    <row r="103" spans="13:29">
      <c r="W103" s="53"/>
      <c r="X103" s="53"/>
      <c r="Y103" s="53"/>
      <c r="Z103" s="53"/>
      <c r="AA103" s="53"/>
      <c r="AB103" s="53"/>
    </row>
    <row r="104" spans="13:29">
      <c r="M104" s="32"/>
      <c r="N104" s="32"/>
      <c r="W104" s="53"/>
      <c r="X104" s="53"/>
      <c r="Y104" s="53"/>
      <c r="Z104" s="53"/>
      <c r="AA104" s="53"/>
      <c r="AB104" s="53"/>
    </row>
    <row r="105" spans="13:29">
      <c r="O105" s="32"/>
      <c r="W105" s="53"/>
      <c r="X105" s="53"/>
      <c r="Y105" s="53"/>
      <c r="Z105" s="53"/>
      <c r="AA105" s="53"/>
      <c r="AB105" s="53"/>
    </row>
    <row r="106" spans="13:29">
      <c r="W106" s="53"/>
      <c r="X106" s="53"/>
      <c r="Y106" s="53"/>
      <c r="Z106" s="53"/>
      <c r="AA106" s="53"/>
      <c r="AB106" s="53"/>
    </row>
    <row r="107" spans="13:29">
      <c r="W107" s="53"/>
      <c r="X107" s="53"/>
      <c r="Y107" s="53"/>
      <c r="Z107" s="53"/>
      <c r="AA107" s="53"/>
      <c r="AB107" s="53"/>
    </row>
    <row r="108" spans="13:29">
      <c r="W108" s="53"/>
      <c r="X108" s="53"/>
      <c r="Y108" s="53"/>
      <c r="Z108" s="53"/>
      <c r="AA108" s="53"/>
      <c r="AB108" s="53"/>
    </row>
    <row r="109" spans="13:29">
      <c r="W109" s="53"/>
      <c r="X109" s="53"/>
      <c r="Y109" s="53"/>
      <c r="Z109" s="53"/>
      <c r="AA109" s="53"/>
      <c r="AB109" s="53"/>
    </row>
    <row r="110" spans="13:29">
      <c r="W110" s="53"/>
      <c r="X110" s="53"/>
      <c r="Y110" s="53"/>
      <c r="Z110" s="53"/>
      <c r="AA110" s="53"/>
      <c r="AB110" s="53"/>
    </row>
    <row r="111" spans="13:29">
      <c r="W111" s="53"/>
      <c r="X111" s="53"/>
      <c r="Y111" s="53"/>
      <c r="Z111" s="53"/>
      <c r="AA111" s="53"/>
      <c r="AB111" s="53"/>
    </row>
  </sheetData>
  <phoneticPr fontId="1" type="noConversion"/>
  <pageMargins left="0.7" right="0.7" top="0.75" bottom="1.01" header="0.5" footer="0.5"/>
  <pageSetup paperSize="9" scale="83" fitToHeight="18" orientation="landscape" horizontalDpi="4294967293" verticalDpi="4294967293"/>
  <headerFooter>
    <oddHeader>&amp;F</oddHeader>
    <oddFooter>&amp;A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98E9-9A6D-483B-BCD0-77536A6A5BB3}">
  <dimension ref="A2:M100"/>
  <sheetViews>
    <sheetView zoomScale="177" zoomScaleNormal="125" zoomScaleSheetLayoutView="100" zoomScalePageLayoutView="125" workbookViewId="0">
      <selection activeCell="C10" sqref="C10"/>
    </sheetView>
  </sheetViews>
  <sheetFormatPr defaultColWidth="11.453125" defaultRowHeight="13"/>
  <cols>
    <col min="1" max="1" width="18.08984375" style="11" customWidth="1"/>
    <col min="2" max="2" width="11.6328125" style="12" customWidth="1"/>
    <col min="3" max="3" width="9.81640625" style="12" customWidth="1"/>
    <col min="4" max="4" width="8.6328125" style="13" customWidth="1"/>
    <col min="5" max="5" width="9.453125" style="11" customWidth="1"/>
    <col min="6" max="6" width="11.81640625" style="11" bestFit="1" customWidth="1"/>
    <col min="7" max="7" width="9.81640625" style="11" bestFit="1" customWidth="1"/>
    <col min="8" max="8" width="11.453125" style="11" bestFit="1" customWidth="1"/>
    <col min="9" max="9" width="11.36328125" style="11" bestFit="1" customWidth="1"/>
    <col min="10" max="11" width="9.6328125" style="11" customWidth="1"/>
    <col min="12" max="12" width="9.08984375" style="11" customWidth="1"/>
    <col min="13" max="13" width="9.6328125" style="11" customWidth="1"/>
    <col min="14" max="14" width="9.08984375" style="11" customWidth="1"/>
    <col min="15" max="15" width="9.6328125" style="11" customWidth="1"/>
    <col min="16" max="16" width="9.08984375" style="11" customWidth="1"/>
    <col min="17" max="17" width="9.6328125" style="11" customWidth="1"/>
    <col min="18" max="18" width="9.08984375" style="11" customWidth="1"/>
    <col min="19" max="19" width="9.6328125" style="11" customWidth="1"/>
    <col min="20" max="20" width="9.08984375" style="11" customWidth="1"/>
    <col min="21" max="21" width="9.6328125" style="11" customWidth="1"/>
    <col min="22" max="16384" width="11.453125" style="11"/>
  </cols>
  <sheetData>
    <row r="2" spans="1:12">
      <c r="G2" s="89" t="s">
        <v>83</v>
      </c>
    </row>
    <row r="3" spans="1:12">
      <c r="A3" s="177"/>
      <c r="B3" s="178"/>
      <c r="F3" s="232" t="s">
        <v>190</v>
      </c>
      <c r="G3" s="111" cm="1">
        <f t="array" ref="G3:H7">LINEST(C18:C20,B18:B20,TRUE,TRUE)</f>
        <v>0.10851095063968265</v>
      </c>
      <c r="H3" s="111">
        <v>0.22123136193534498</v>
      </c>
      <c r="I3" s="231" t="s">
        <v>191</v>
      </c>
    </row>
    <row r="4" spans="1:12">
      <c r="F4" s="232" t="s">
        <v>193</v>
      </c>
      <c r="G4" s="111">
        <v>4.581996430819104E-2</v>
      </c>
      <c r="H4" s="111">
        <v>1.9766415794380678E-2</v>
      </c>
      <c r="I4" s="231" t="s">
        <v>194</v>
      </c>
    </row>
    <row r="5" spans="1:12" ht="15">
      <c r="F5" s="232" t="s">
        <v>196</v>
      </c>
      <c r="G5" s="111">
        <v>0.84867704539989752</v>
      </c>
      <c r="H5" s="111">
        <v>1.7178145846059069E-2</v>
      </c>
      <c r="I5" s="231" t="s">
        <v>197</v>
      </c>
    </row>
    <row r="6" spans="1:12">
      <c r="F6" s="232" t="s">
        <v>198</v>
      </c>
      <c r="G6" s="111">
        <v>5.6083827311109289</v>
      </c>
      <c r="H6" s="11">
        <v>1</v>
      </c>
      <c r="I6" s="231" t="s">
        <v>199</v>
      </c>
    </row>
    <row r="7" spans="1:12" ht="13.5" thickBot="1">
      <c r="F7" s="233" t="s">
        <v>200</v>
      </c>
      <c r="G7" s="111">
        <v>1.6549703395490841E-3</v>
      </c>
      <c r="H7" s="235">
        <v>2.9508869470847645E-4</v>
      </c>
      <c r="I7" s="234" t="s">
        <v>201</v>
      </c>
    </row>
    <row r="8" spans="1:12" ht="15.5" thickTop="1">
      <c r="L8" s="37"/>
    </row>
    <row r="9" spans="1:12" ht="13.5" thickBot="1">
      <c r="A9" s="33"/>
      <c r="B9" s="24" t="s">
        <v>84</v>
      </c>
      <c r="C9" s="24" t="s">
        <v>85</v>
      </c>
      <c r="D9" s="34"/>
      <c r="E9" s="33"/>
      <c r="F9" s="33"/>
      <c r="G9" s="33"/>
      <c r="H9" s="33"/>
      <c r="I9" s="33"/>
    </row>
    <row r="10" spans="1:12" ht="13.5" thickBot="1">
      <c r="A10" s="11" t="s">
        <v>86</v>
      </c>
      <c r="B10" s="230">
        <f>INTERCEPT(C18:C20,B18:B20)</f>
        <v>0.22123136193534496</v>
      </c>
      <c r="C10" s="111">
        <f>H4</f>
        <v>1.9766415794380678E-2</v>
      </c>
      <c r="D10" s="12"/>
      <c r="E10" s="36"/>
      <c r="F10" s="12"/>
      <c r="G10" s="12"/>
      <c r="H10" s="12"/>
      <c r="I10" s="12"/>
    </row>
    <row r="11" spans="1:12">
      <c r="A11" s="22" t="s">
        <v>87</v>
      </c>
      <c r="B11" s="35">
        <f>SLOPE(C18:C20,B18:B20)</f>
        <v>0.10851095063968269</v>
      </c>
      <c r="C11" s="273">
        <f>G4</f>
        <v>4.581996430819104E-2</v>
      </c>
      <c r="D11" s="12"/>
      <c r="E11" s="13"/>
      <c r="F11" s="13"/>
      <c r="G11" s="13"/>
      <c r="H11" s="13"/>
      <c r="I11" s="13"/>
    </row>
    <row r="12" spans="1:12">
      <c r="C12" s="111"/>
    </row>
    <row r="13" spans="1:12">
      <c r="A13" s="78" t="s">
        <v>51</v>
      </c>
      <c r="B13" s="77">
        <f>B10</f>
        <v>0.22123136193534496</v>
      </c>
      <c r="C13" s="274">
        <f>C10</f>
        <v>1.9766415794380678E-2</v>
      </c>
      <c r="E13" s="32"/>
      <c r="F13" s="32"/>
    </row>
    <row r="16" spans="1:12" ht="15">
      <c r="A16" s="4" t="s">
        <v>49</v>
      </c>
      <c r="B16" s="4" t="s">
        <v>57</v>
      </c>
      <c r="C16" s="4" t="s">
        <v>51</v>
      </c>
    </row>
    <row r="17" spans="1:13" ht="15">
      <c r="A17" s="44" t="s">
        <v>59</v>
      </c>
      <c r="B17" s="44" t="s">
        <v>61</v>
      </c>
      <c r="C17" s="44"/>
    </row>
    <row r="18" spans="1:13">
      <c r="A18" s="259" cm="1">
        <f t="array" ref="A18:A27">_xlfn._xlws.FILTER(Concentrations!A5:'Concentrations'!A24,(Concentrations!A5:'Concentrations'!A24&lt;&gt;""))</f>
        <v>0.5</v>
      </c>
      <c r="B18" s="259" cm="1">
        <f t="array" ref="B18:B27">_xlfn._xlws.FILTER(Concentrations!N5:'Concentrations'!N24,(Concentrations!N5:'Concentrations'!N24&lt;&gt;""))</f>
        <v>0.11305196145</v>
      </c>
      <c r="C18" s="259" cm="1">
        <f t="array" ref="C18:C27">_xlfn._xlws.FILTER(Masses!E8:'Masses'!E26,(Masses!E8:'Masses'!E26&lt;&gt;""))</f>
        <v>0.2261039229</v>
      </c>
    </row>
    <row r="19" spans="1:13">
      <c r="A19" s="259">
        <v>1.5</v>
      </c>
      <c r="B19" s="259">
        <v>0.36344806950000003</v>
      </c>
      <c r="C19" s="259">
        <v>0.27468829319999999</v>
      </c>
    </row>
    <row r="20" spans="1:13">
      <c r="A20" s="259">
        <v>2.5</v>
      </c>
      <c r="B20" s="259">
        <v>0.64298113364999998</v>
      </c>
      <c r="C20" s="259">
        <v>0.28437783509999998</v>
      </c>
      <c r="E20" s="175"/>
    </row>
    <row r="21" spans="1:13">
      <c r="A21" s="259">
        <v>3.5</v>
      </c>
      <c r="B21" s="259">
        <v>0.93134726709999993</v>
      </c>
      <c r="C21" s="259">
        <v>0.29235443179999998</v>
      </c>
    </row>
    <row r="22" spans="1:13">
      <c r="A22" s="259">
        <v>4.5</v>
      </c>
      <c r="B22" s="259">
        <v>1.2253343395499998</v>
      </c>
      <c r="C22" s="259">
        <v>0.29561971310000001</v>
      </c>
    </row>
    <row r="23" spans="1:13">
      <c r="A23" s="259">
        <v>5.5</v>
      </c>
      <c r="B23" s="259">
        <v>1.5205182124499999</v>
      </c>
      <c r="C23" s="259">
        <v>0.2947480327</v>
      </c>
    </row>
    <row r="24" spans="1:13">
      <c r="A24" s="259">
        <v>6.5</v>
      </c>
      <c r="B24" s="259">
        <v>1.81244428245</v>
      </c>
      <c r="C24" s="259">
        <v>0.28910410730000002</v>
      </c>
    </row>
    <row r="25" spans="1:13">
      <c r="A25" s="259">
        <v>7.5</v>
      </c>
      <c r="B25" s="259">
        <v>2.0983551990000002</v>
      </c>
      <c r="C25" s="259">
        <v>0.28271772579999999</v>
      </c>
    </row>
    <row r="26" spans="1:13">
      <c r="A26" s="259">
        <v>8.5</v>
      </c>
      <c r="B26" s="259">
        <v>2.3814719588999997</v>
      </c>
      <c r="C26" s="259">
        <v>0.28351579399999999</v>
      </c>
    </row>
    <row r="27" spans="1:13">
      <c r="A27" s="259">
        <v>9.5</v>
      </c>
      <c r="B27" s="259">
        <v>2.6552368568000002</v>
      </c>
      <c r="C27" s="259">
        <v>0.26401400180000001</v>
      </c>
    </row>
    <row r="28" spans="1:13">
      <c r="A28" s="12"/>
    </row>
    <row r="29" spans="1:13">
      <c r="A29" s="12"/>
    </row>
    <row r="30" spans="1:13">
      <c r="A30" s="12"/>
    </row>
    <row r="31" spans="1:13">
      <c r="A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>
      <c r="A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>
      <c r="A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>
      <c r="A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3">
      <c r="A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>
      <c r="A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>
      <c r="A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>
      <c r="A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>
      <c r="A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3">
      <c r="A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>
      <c r="A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3">
      <c r="A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>
      <c r="A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3">
      <c r="A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>
      <c r="A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spans="1:13">
      <c r="A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>
      <c r="A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>
      <c r="A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13">
      <c r="A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>
      <c r="A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>
      <c r="A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>
      <c r="A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>
      <c r="F53" s="111"/>
    </row>
    <row r="54" spans="1:13">
      <c r="F54" s="111"/>
    </row>
    <row r="55" spans="1:13">
      <c r="F55" s="111"/>
    </row>
    <row r="56" spans="1:13">
      <c r="F56" s="111"/>
    </row>
    <row r="57" spans="1:13">
      <c r="F57" s="111"/>
    </row>
    <row r="58" spans="1:13">
      <c r="F58" s="111"/>
    </row>
    <row r="59" spans="1:13">
      <c r="F59" s="111"/>
    </row>
    <row r="60" spans="1:13">
      <c r="F60" s="111"/>
    </row>
    <row r="61" spans="1:13">
      <c r="F61" s="111"/>
    </row>
    <row r="62" spans="1:13">
      <c r="F62" s="111"/>
    </row>
    <row r="63" spans="1:13">
      <c r="F63" s="111"/>
    </row>
    <row r="64" spans="1:13">
      <c r="F64" s="111"/>
    </row>
    <row r="65" spans="6:8">
      <c r="F65" s="111"/>
    </row>
    <row r="66" spans="6:8">
      <c r="F66" s="111"/>
    </row>
    <row r="67" spans="6:8">
      <c r="F67" s="111"/>
    </row>
    <row r="68" spans="6:8">
      <c r="F68" s="111"/>
    </row>
    <row r="69" spans="6:8">
      <c r="F69" s="111"/>
    </row>
    <row r="70" spans="6:8">
      <c r="F70" s="111"/>
    </row>
    <row r="71" spans="6:8">
      <c r="F71" s="111"/>
    </row>
    <row r="72" spans="6:8">
      <c r="F72" s="111"/>
    </row>
    <row r="73" spans="6:8">
      <c r="F73" s="111"/>
    </row>
    <row r="74" spans="6:8">
      <c r="F74" s="111"/>
    </row>
    <row r="75" spans="6:8">
      <c r="F75" s="111"/>
      <c r="G75" s="111"/>
      <c r="H75" s="111"/>
    </row>
    <row r="76" spans="6:8">
      <c r="F76" s="111"/>
      <c r="G76" s="111"/>
      <c r="H76" s="111"/>
    </row>
    <row r="77" spans="6:8">
      <c r="F77" s="111"/>
      <c r="G77" s="111"/>
      <c r="H77" s="111"/>
    </row>
    <row r="78" spans="6:8">
      <c r="F78" s="111"/>
      <c r="G78" s="111"/>
      <c r="H78" s="111"/>
    </row>
    <row r="79" spans="6:8">
      <c r="F79" s="111"/>
      <c r="G79" s="111"/>
      <c r="H79" s="111"/>
    </row>
    <row r="80" spans="6:8">
      <c r="F80" s="111"/>
      <c r="G80" s="111"/>
      <c r="H80" s="111"/>
    </row>
    <row r="81" spans="6:8">
      <c r="F81" s="111"/>
      <c r="G81" s="111"/>
      <c r="H81" s="111"/>
    </row>
    <row r="82" spans="6:8">
      <c r="F82" s="111"/>
      <c r="G82" s="111"/>
      <c r="H82" s="111"/>
    </row>
    <row r="83" spans="6:8">
      <c r="F83" s="111"/>
      <c r="G83" s="111"/>
      <c r="H83" s="111"/>
    </row>
    <row r="84" spans="6:8">
      <c r="F84" s="111"/>
      <c r="G84" s="111"/>
      <c r="H84" s="111"/>
    </row>
    <row r="85" spans="6:8">
      <c r="F85" s="111"/>
      <c r="G85" s="111"/>
      <c r="H85" s="111"/>
    </row>
    <row r="86" spans="6:8">
      <c r="F86" s="111"/>
      <c r="G86" s="111"/>
      <c r="H86" s="111"/>
    </row>
    <row r="87" spans="6:8">
      <c r="F87" s="111"/>
      <c r="G87" s="111"/>
      <c r="H87" s="111"/>
    </row>
    <row r="88" spans="6:8">
      <c r="F88" s="111"/>
      <c r="G88" s="111"/>
      <c r="H88" s="111"/>
    </row>
    <row r="89" spans="6:8">
      <c r="F89" s="111"/>
      <c r="G89" s="111"/>
      <c r="H89" s="111"/>
    </row>
    <row r="90" spans="6:8">
      <c r="F90" s="111"/>
      <c r="G90" s="111"/>
      <c r="H90" s="111"/>
    </row>
    <row r="91" spans="6:8">
      <c r="F91" s="111"/>
      <c r="G91" s="111"/>
      <c r="H91" s="111"/>
    </row>
    <row r="92" spans="6:8">
      <c r="F92" s="111"/>
      <c r="G92" s="111"/>
      <c r="H92" s="111"/>
    </row>
    <row r="93" spans="6:8">
      <c r="F93" s="111"/>
      <c r="G93" s="111"/>
      <c r="H93" s="111"/>
    </row>
    <row r="94" spans="6:8">
      <c r="F94" s="111"/>
      <c r="G94" s="111"/>
      <c r="H94" s="111"/>
    </row>
    <row r="95" spans="6:8">
      <c r="F95" s="111"/>
      <c r="G95" s="111"/>
      <c r="H95" s="111"/>
    </row>
    <row r="96" spans="6:8">
      <c r="F96" s="111"/>
      <c r="G96" s="111"/>
      <c r="H96" s="111"/>
    </row>
    <row r="97" spans="6:8">
      <c r="F97" s="111"/>
      <c r="G97" s="111"/>
      <c r="H97" s="111"/>
    </row>
    <row r="98" spans="6:8">
      <c r="F98" s="111"/>
      <c r="G98" s="111"/>
      <c r="H98" s="111"/>
    </row>
    <row r="99" spans="6:8">
      <c r="F99" s="111"/>
      <c r="G99" s="111"/>
      <c r="H99" s="111"/>
    </row>
    <row r="100" spans="6:8">
      <c r="F100" s="111"/>
      <c r="G100" s="111"/>
      <c r="H100" s="111"/>
    </row>
  </sheetData>
  <pageMargins left="1.1100000000000001" right="0.7" top="0.75" bottom="0.75" header="0.5" footer="0.5"/>
  <pageSetup paperSize="9" scale="93" orientation="landscape" horizontalDpi="4294967293" verticalDpi="4294967293"/>
  <headerFooter>
    <oddHeader>&amp;F</oddHeader>
    <oddFooter>&amp;A</oddFooter>
  </headerFooter>
  <rowBreaks count="1" manualBreakCount="1">
    <brk id="31" max="16383" man="1"/>
  </rowBreaks>
  <colBreaks count="1" manualBreakCount="1">
    <brk id="9" max="37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G203"/>
  <sheetViews>
    <sheetView zoomScale="58" zoomScaleNormal="79" zoomScaleSheetLayoutView="100" workbookViewId="0">
      <selection activeCell="E8" sqref="E8"/>
    </sheetView>
  </sheetViews>
  <sheetFormatPr defaultColWidth="11.453125" defaultRowHeight="13"/>
  <cols>
    <col min="1" max="1" width="14.54296875" style="33" customWidth="1"/>
    <col min="2" max="2" width="8" style="33" customWidth="1"/>
    <col min="3" max="3" width="10.81640625" style="19" bestFit="1" customWidth="1"/>
    <col min="4" max="4" width="6.08984375" style="19" bestFit="1" customWidth="1"/>
    <col min="5" max="5" width="16.90625" style="19" customWidth="1"/>
    <col min="6" max="6" width="9.54296875" style="19" customWidth="1"/>
    <col min="7" max="8" width="7" style="45" bestFit="1" customWidth="1"/>
    <col min="9" max="9" width="13" style="19" customWidth="1"/>
    <col min="10" max="10" width="10.54296875" style="24" bestFit="1" customWidth="1"/>
    <col min="11" max="11" width="20.1796875" style="24" customWidth="1"/>
    <col min="12" max="12" width="11" style="19" customWidth="1"/>
    <col min="13" max="14" width="8.36328125" style="24" bestFit="1" customWidth="1"/>
    <col min="15" max="15" width="10.81640625" style="24" bestFit="1" customWidth="1"/>
    <col min="16" max="16" width="7.81640625" style="24" bestFit="1" customWidth="1"/>
    <col min="17" max="17" width="7.36328125" style="24" bestFit="1" customWidth="1"/>
    <col min="18" max="19" width="7" style="24" customWidth="1"/>
    <col min="20" max="27" width="11.453125" style="33"/>
    <col min="28" max="28" width="12" style="33" customWidth="1"/>
    <col min="29" max="29" width="14.1796875" style="33" customWidth="1"/>
    <col min="30" max="16384" width="11.453125" style="33"/>
  </cols>
  <sheetData>
    <row r="1" spans="1:68" ht="15">
      <c r="F1" s="18"/>
      <c r="G1" s="204" t="s">
        <v>124</v>
      </c>
      <c r="H1" s="204"/>
      <c r="J1" s="43" t="s">
        <v>125</v>
      </c>
      <c r="L1" s="243" t="s">
        <v>126</v>
      </c>
      <c r="P1" s="43" t="s">
        <v>127</v>
      </c>
    </row>
    <row r="2" spans="1:68">
      <c r="B2" s="33" t="s">
        <v>128</v>
      </c>
      <c r="C2" s="19" t="s">
        <v>63</v>
      </c>
      <c r="E2" s="19" t="s">
        <v>63</v>
      </c>
      <c r="G2" s="45" t="s">
        <v>129</v>
      </c>
      <c r="J2" s="24" t="s">
        <v>116</v>
      </c>
      <c r="L2" s="19" t="s">
        <v>51</v>
      </c>
      <c r="N2" s="24" t="s">
        <v>51</v>
      </c>
      <c r="P2" s="24" t="s">
        <v>120</v>
      </c>
    </row>
    <row r="3" spans="1:68">
      <c r="E3" s="19" t="s">
        <v>130</v>
      </c>
      <c r="I3" s="101"/>
      <c r="J3" s="56"/>
      <c r="K3" s="56"/>
      <c r="L3" s="19" t="s">
        <v>32</v>
      </c>
      <c r="N3" s="24" t="s">
        <v>45</v>
      </c>
      <c r="P3" s="55"/>
      <c r="Q3" s="55"/>
      <c r="R3" s="241"/>
      <c r="S3" s="241"/>
      <c r="Y3" s="4" t="s">
        <v>48</v>
      </c>
      <c r="Z3" s="29" t="s">
        <v>131</v>
      </c>
    </row>
    <row r="4" spans="1:68" ht="18" customHeight="1">
      <c r="A4" s="33" t="s">
        <v>64</v>
      </c>
      <c r="B4" s="4" t="str">
        <f>Masses!B5</f>
        <v>z(i)</v>
      </c>
      <c r="C4" s="15" t="s">
        <v>72</v>
      </c>
      <c r="D4" s="15" t="s">
        <v>132</v>
      </c>
      <c r="E4" s="15" t="s">
        <v>133</v>
      </c>
      <c r="F4" s="15" t="s">
        <v>134</v>
      </c>
      <c r="G4" s="5" t="s">
        <v>97</v>
      </c>
      <c r="H4" s="5" t="s">
        <v>98</v>
      </c>
      <c r="I4" s="79" t="s">
        <v>135</v>
      </c>
      <c r="J4" s="5" t="s">
        <v>136</v>
      </c>
      <c r="K4" s="5" t="s">
        <v>137</v>
      </c>
      <c r="L4" s="1" t="s">
        <v>138</v>
      </c>
      <c r="M4" s="3" t="s">
        <v>139</v>
      </c>
      <c r="N4" s="2" t="s">
        <v>140</v>
      </c>
      <c r="O4" s="337" t="s">
        <v>141</v>
      </c>
      <c r="P4" s="3" t="s">
        <v>142</v>
      </c>
      <c r="Q4" s="3" t="s">
        <v>143</v>
      </c>
      <c r="R4" s="43"/>
      <c r="S4" s="43"/>
      <c r="T4" s="33" t="s">
        <v>103</v>
      </c>
      <c r="W4" s="33" t="s">
        <v>144</v>
      </c>
      <c r="Y4" s="15" t="s">
        <v>72</v>
      </c>
      <c r="Z4" s="29" t="s">
        <v>145</v>
      </c>
    </row>
    <row r="5" spans="1:68" s="49" customFormat="1" ht="18" customHeight="1">
      <c r="A5" s="49" t="s">
        <v>79</v>
      </c>
      <c r="B5" s="8" t="s">
        <v>59</v>
      </c>
      <c r="C5" s="17" t="s">
        <v>78</v>
      </c>
      <c r="D5" s="16"/>
      <c r="E5" s="17" t="s">
        <v>78</v>
      </c>
      <c r="F5" s="16"/>
      <c r="G5" s="9" t="s">
        <v>106</v>
      </c>
      <c r="H5" s="9" t="s">
        <v>106</v>
      </c>
      <c r="I5" s="80" t="s">
        <v>107</v>
      </c>
      <c r="J5" s="7" t="s">
        <v>109</v>
      </c>
      <c r="K5" s="17"/>
      <c r="L5" s="17" t="s">
        <v>60</v>
      </c>
      <c r="M5" s="7"/>
      <c r="N5" s="7" t="s">
        <v>60</v>
      </c>
      <c r="O5" s="7"/>
      <c r="P5" s="7" t="s">
        <v>108</v>
      </c>
      <c r="Q5" s="7"/>
      <c r="R5" s="7"/>
      <c r="S5" s="7"/>
      <c r="T5" s="7" t="s">
        <v>146</v>
      </c>
      <c r="U5" s="8" t="s">
        <v>147</v>
      </c>
      <c r="V5" s="8" t="s">
        <v>148</v>
      </c>
      <c r="W5" s="8" t="s">
        <v>120</v>
      </c>
      <c r="X5" s="8" t="s">
        <v>135</v>
      </c>
      <c r="Y5" s="82" t="s">
        <v>132</v>
      </c>
      <c r="Z5" s="29"/>
      <c r="AA5" s="33"/>
      <c r="AB5" s="33"/>
      <c r="BI5" s="33"/>
      <c r="BJ5" s="33"/>
      <c r="BK5" s="33"/>
      <c r="BL5" s="33"/>
      <c r="BM5" s="33"/>
      <c r="BN5" s="33"/>
      <c r="BO5" s="33"/>
      <c r="BP5" s="33"/>
    </row>
    <row r="6" spans="1:68" ht="18" customHeight="1">
      <c r="A6" s="266"/>
      <c r="B6" s="253" t="str">
        <f>Masses!B7</f>
        <v>0</v>
      </c>
      <c r="C6" s="24"/>
      <c r="D6" s="24"/>
      <c r="E6" s="104">
        <f>E8+C7</f>
        <v>46.283722168310341</v>
      </c>
      <c r="F6" s="24">
        <f>SQRT(SUMSQ(F8,D7))</f>
        <v>0.26735442886192029</v>
      </c>
      <c r="G6" s="24">
        <f>LN($E$6/E6)/Constants!$B$25</f>
        <v>0</v>
      </c>
      <c r="H6" s="24">
        <f>SQRT((G6*Constants!$B$26)^2+($F$6/$E$6)^2+(1-2*E6/$E$6)*(F6/E6)^2)/Constants!$B$25</f>
        <v>0</v>
      </c>
      <c r="I6" s="81">
        <f>Constants!$B$15-G6</f>
        <v>2021.5942850363231</v>
      </c>
      <c r="J6" s="152">
        <f>Constants!$B$25*CF!E6/Concentrations!I4</f>
        <v>0.11238917447365696</v>
      </c>
      <c r="K6" s="341">
        <f>J6*SQRT((F6/E6)^2+(1-(E6-E8)/(E6))*(Concentrations!J4/Concentrations!I4)^2)</f>
        <v>8.4843514027324856E-3</v>
      </c>
      <c r="L6" s="306"/>
      <c r="M6" s="307"/>
      <c r="N6" s="318">
        <f>'DBD(0)'!B13</f>
        <v>0.22123136193534496</v>
      </c>
      <c r="O6" s="318">
        <f>'DBD(0)'!C13</f>
        <v>1.9766415794380678E-2</v>
      </c>
      <c r="P6" s="152">
        <f>J6/N6</f>
        <v>0.50801646516330168</v>
      </c>
      <c r="Q6" s="152">
        <f>P6*SQRT(SUMSQ(K6/J6,O6/N6))</f>
        <v>5.9422287048864528E-2</v>
      </c>
      <c r="T6" s="24">
        <f>J6*10000</f>
        <v>1123.8917447365695</v>
      </c>
      <c r="V6" s="33">
        <f>(T6)*(U6)</f>
        <v>0</v>
      </c>
      <c r="W6" s="24">
        <f>P6</f>
        <v>0.50801646516330168</v>
      </c>
      <c r="X6" s="24">
        <f>I6</f>
        <v>2021.5942850363231</v>
      </c>
      <c r="Y6" s="15" t="s">
        <v>133</v>
      </c>
      <c r="Z6" s="29" t="s">
        <v>149</v>
      </c>
      <c r="AJ6" s="49"/>
    </row>
    <row r="7" spans="1:68" ht="13.5" thickBot="1">
      <c r="A7" s="275">
        <f>Masses!C8</f>
        <v>0.5</v>
      </c>
      <c r="B7" s="253"/>
      <c r="C7" s="24">
        <f>Concentrations!K5</f>
        <v>2.5303271651818511</v>
      </c>
      <c r="D7" s="24">
        <f>Concentrations!L5</f>
        <v>5.8956529051819639E-2</v>
      </c>
      <c r="E7" s="24"/>
      <c r="F7" s="24"/>
      <c r="G7" s="24"/>
      <c r="H7" s="24"/>
      <c r="I7" s="81"/>
      <c r="J7" s="152"/>
      <c r="K7" s="341"/>
      <c r="L7" s="308">
        <f>Masses!E8</f>
        <v>0.2261039229</v>
      </c>
      <c r="M7" s="305">
        <f>Masses!H8</f>
        <v>4.8459592111397597E-3</v>
      </c>
      <c r="N7" s="305"/>
      <c r="O7" s="305"/>
      <c r="P7" s="152"/>
      <c r="Q7" s="152"/>
      <c r="X7" s="24"/>
      <c r="Y7" s="82" t="s">
        <v>134</v>
      </c>
      <c r="Z7" s="29"/>
      <c r="AJ7" s="49"/>
    </row>
    <row r="8" spans="1:68" ht="19" thickTop="1" thickBot="1">
      <c r="A8" s="275"/>
      <c r="B8" s="253">
        <f>Masses!B9</f>
        <v>1</v>
      </c>
      <c r="C8" s="24"/>
      <c r="D8" s="24"/>
      <c r="E8" s="24">
        <f>E10+C9</f>
        <v>43.753395003128489</v>
      </c>
      <c r="F8" s="24">
        <f>SQRT(SUMSQ(F10,D9))</f>
        <v>0.26077292481054382</v>
      </c>
      <c r="G8" s="24">
        <f>LN($E$6/E8)/Constants!$B$25</f>
        <v>1.8030736501859259</v>
      </c>
      <c r="H8" s="24">
        <f>SQRT((G8*Constants!$B$26)^2+($F$6/$E$6)^2+(1-2*E8/$E$6)*(F8/E8)^2)/Constants!$B$25</f>
        <v>4.3276494060453759E-2</v>
      </c>
      <c r="I8" s="81">
        <f>Constants!$B$15-G8</f>
        <v>2019.7912113861371</v>
      </c>
      <c r="J8" s="152">
        <f>Constants!$B$25*CF!E8/Concentrations!I6</f>
        <v>0.12636293273444277</v>
      </c>
      <c r="K8" s="341">
        <f>J8*SQRT((F8/E8)^2+(1-(E8-E10)/(E8))*(Concentrations!J6/Concentrations!I6)^2)</f>
        <v>1.112210323231074E-3</v>
      </c>
      <c r="L8" s="306"/>
      <c r="M8" s="305"/>
      <c r="N8" s="305">
        <f>AVERAGE(L7,L9)</f>
        <v>0.25039610805000001</v>
      </c>
      <c r="O8" s="305">
        <f>SQRT((M7^2+M9^2))/2</f>
        <v>3.2461927561975678E-3</v>
      </c>
      <c r="P8" s="152">
        <f>J8/N8</f>
        <v>0.50465214383128576</v>
      </c>
      <c r="Q8" s="152">
        <f>P8*SQRT(SUMSQ(K8/J8,O8/N8))</f>
        <v>7.9077786633262766E-3</v>
      </c>
      <c r="T8" s="24">
        <f>J8*10000</f>
        <v>1263.6293273444276</v>
      </c>
      <c r="V8" s="33">
        <f>(T8)*(U8)</f>
        <v>0</v>
      </c>
      <c r="W8" s="24">
        <f>P8</f>
        <v>0.50465214383128576</v>
      </c>
      <c r="X8" s="24">
        <f>I8</f>
        <v>2019.7912113861371</v>
      </c>
      <c r="Y8" s="5" t="s">
        <v>97</v>
      </c>
      <c r="Z8" s="29" t="s">
        <v>150</v>
      </c>
      <c r="AJ8" s="49"/>
      <c r="AO8" s="236" t="s">
        <v>151</v>
      </c>
    </row>
    <row r="9" spans="1:68" ht="14" thickTop="1" thickBot="1">
      <c r="A9" s="275">
        <f>Masses!C10</f>
        <v>1.5</v>
      </c>
      <c r="B9" s="253"/>
      <c r="C9" s="24">
        <f>Concentrations!K7</f>
        <v>2.8572425225518385</v>
      </c>
      <c r="D9" s="24">
        <f>Concentrations!L7</f>
        <v>5.3001915001419313E-2</v>
      </c>
      <c r="E9" s="24"/>
      <c r="F9" s="24"/>
      <c r="G9" s="24"/>
      <c r="H9" s="24"/>
      <c r="I9" s="81"/>
      <c r="J9" s="152"/>
      <c r="K9" s="341"/>
      <c r="L9" s="308">
        <f>Masses!E10</f>
        <v>0.27468829319999999</v>
      </c>
      <c r="M9" s="305">
        <f>Masses!H10</f>
        <v>4.3206190488780626E-3</v>
      </c>
      <c r="N9" s="305"/>
      <c r="O9" s="305"/>
      <c r="P9" s="152"/>
      <c r="Q9" s="152"/>
      <c r="X9" s="24"/>
      <c r="Y9" s="83" t="s">
        <v>98</v>
      </c>
      <c r="Z9" s="29"/>
      <c r="AJ9" s="49"/>
      <c r="AM9" s="49"/>
      <c r="AN9" s="49"/>
      <c r="AO9" s="49"/>
      <c r="AP9" s="49"/>
      <c r="AQ9" s="49"/>
    </row>
    <row r="10" spans="1:68" ht="18.5" thickTop="1" thickBot="1">
      <c r="A10" s="275"/>
      <c r="B10" s="253">
        <f>Masses!B11</f>
        <v>2</v>
      </c>
      <c r="C10" s="24"/>
      <c r="D10" s="24"/>
      <c r="E10" s="24">
        <f>E12+C11</f>
        <v>40.896152480576653</v>
      </c>
      <c r="F10" s="24">
        <f>SQRT(SUMSQ(F12,D11))</f>
        <v>0.25532981674772703</v>
      </c>
      <c r="G10" s="24">
        <f>LN($E$6/E10)/Constants!$B$25</f>
        <v>3.9689391127473144</v>
      </c>
      <c r="H10" s="24">
        <f>SQRT((G10*Constants!$B$26)^2+($F$6/$E$6)^2+(1-2*E10/$E$6)*(F10/E10)^2)/Constants!$B$25</f>
        <v>6.3403519338581862E-2</v>
      </c>
      <c r="I10" s="81">
        <f>Constants!$B$15-G10</f>
        <v>2017.6253459235757</v>
      </c>
      <c r="J10" s="152">
        <f>Constants!$B$25*CF!E10/Concentrations!I8</f>
        <v>0.11610050031352451</v>
      </c>
      <c r="K10" s="341">
        <f>J10*SQRT((F10/E10)^2+(1-(E10-E12)/(E10))*(Concentrations!J8/Concentrations!I8)^2)</f>
        <v>1.0309836459693889E-3</v>
      </c>
      <c r="L10" s="306"/>
      <c r="M10" s="305"/>
      <c r="N10" s="305">
        <f>AVERAGE(L9,L11)</f>
        <v>0.27953306415000001</v>
      </c>
      <c r="O10" s="305">
        <f t="shared" ref="O10" si="0">SQRT((M9^2+M11^2))/2</f>
        <v>3.1679930356355648E-3</v>
      </c>
      <c r="P10" s="152">
        <f>J10/N10</f>
        <v>0.41533727205603094</v>
      </c>
      <c r="Q10" s="152">
        <f>P10*SQRT(SUMSQ(K10/J10,O10/N10))</f>
        <v>5.9799428626076036E-3</v>
      </c>
      <c r="T10" s="24">
        <f>J10*10000</f>
        <v>1161.005003135245</v>
      </c>
      <c r="V10" s="33">
        <f>(T10)*(U10)</f>
        <v>0</v>
      </c>
      <c r="W10" s="24">
        <f>P10</f>
        <v>0.41533727205603094</v>
      </c>
      <c r="X10" s="24">
        <f>I10</f>
        <v>2017.6253459235757</v>
      </c>
      <c r="Y10" s="15" t="s">
        <v>135</v>
      </c>
      <c r="Z10" s="29" t="s">
        <v>152</v>
      </c>
      <c r="AJ10" s="49"/>
      <c r="AO10" s="237" t="s">
        <v>153</v>
      </c>
      <c r="AQ10" s="49"/>
    </row>
    <row r="11" spans="1:68" ht="16.5" thickTop="1" thickBot="1">
      <c r="A11" s="275">
        <f>Masses!C12</f>
        <v>2.5</v>
      </c>
      <c r="B11" s="253"/>
      <c r="C11" s="24">
        <f>Concentrations!K9</f>
        <v>3.2888050647227649</v>
      </c>
      <c r="D11" s="24">
        <f>Concentrations!L9</f>
        <v>6.0980118018771831E-2</v>
      </c>
      <c r="E11" s="24"/>
      <c r="F11" s="24"/>
      <c r="G11" s="24"/>
      <c r="H11" s="24"/>
      <c r="I11" s="81"/>
      <c r="J11" s="152"/>
      <c r="K11" s="341"/>
      <c r="L11" s="308">
        <f>Masses!E12</f>
        <v>0.28437783509999998</v>
      </c>
      <c r="M11" s="305">
        <f>Masses!H12</f>
        <v>4.6343252507580644E-3</v>
      </c>
      <c r="N11" s="305"/>
      <c r="O11" s="305"/>
      <c r="P11" s="152"/>
      <c r="Q11" s="152"/>
      <c r="X11" s="24"/>
      <c r="Y11" s="5" t="s">
        <v>136</v>
      </c>
      <c r="Z11" s="29" t="s">
        <v>154</v>
      </c>
      <c r="AJ11" s="49"/>
      <c r="AO11" s="238"/>
    </row>
    <row r="12" spans="1:68" ht="19.5" thickTop="1" thickBot="1">
      <c r="A12" s="275"/>
      <c r="B12" s="253">
        <f>Masses!B13</f>
        <v>3</v>
      </c>
      <c r="C12" s="24"/>
      <c r="D12" s="24"/>
      <c r="E12" s="24">
        <f>E14+C13</f>
        <v>37.607347415853887</v>
      </c>
      <c r="F12" s="24">
        <f>SQRT(SUMSQ(F14,D13))</f>
        <v>0.24794100210905928</v>
      </c>
      <c r="G12" s="24">
        <f>LN($E$6/E12)/Constants!$B$25</f>
        <v>6.6576702633117915</v>
      </c>
      <c r="H12" s="24">
        <f>SQRT((G12*Constants!$B$26)^2+($F$6/$E$6)^2+(1-2*E12/$E$6)*(F12/E12)^2)/Constants!$B$25</f>
        <v>8.7554988490338728E-2</v>
      </c>
      <c r="I12" s="81">
        <f>Constants!$B$15-G12</f>
        <v>2014.9366147730113</v>
      </c>
      <c r="J12" s="152">
        <f>Constants!$B$25*CF!E12/Concentrations!I10</f>
        <v>0.10424178776252202</v>
      </c>
      <c r="K12" s="341">
        <f>J12*SQRT((F12/E12)^2+(1-(E12-E14)/(E12))*(Concentrations!J10/Concentrations!I10)^2)</f>
        <v>9.3986398939817405E-4</v>
      </c>
      <c r="L12" s="306"/>
      <c r="M12" s="305"/>
      <c r="N12" s="305">
        <f>AVERAGE(L11,L13)</f>
        <v>0.28836613344999995</v>
      </c>
      <c r="O12" s="305">
        <f t="shared" ref="O12" si="1">SQRT((M11^2+M13^2))/2</f>
        <v>3.2899198607079286E-3</v>
      </c>
      <c r="P12" s="152">
        <f>J12/N12</f>
        <v>0.36149108952350884</v>
      </c>
      <c r="Q12" s="152">
        <f>P12*SQRT(SUMSQ(K12/J12,O12/N12))</f>
        <v>5.2565962573102145E-3</v>
      </c>
      <c r="T12" s="24">
        <f>J12*10000</f>
        <v>1042.4178776252202</v>
      </c>
      <c r="V12" s="33">
        <f>(T12)*(U12)</f>
        <v>0</v>
      </c>
      <c r="W12" s="24">
        <f>P12</f>
        <v>0.36149108952350884</v>
      </c>
      <c r="X12" s="24">
        <f>I12</f>
        <v>2014.9366147730113</v>
      </c>
      <c r="Y12" s="83" t="s">
        <v>137</v>
      </c>
      <c r="Z12" s="29"/>
      <c r="AJ12" s="49"/>
      <c r="AO12" s="239" t="s">
        <v>155</v>
      </c>
    </row>
    <row r="13" spans="1:68" ht="15.5" thickTop="1">
      <c r="A13" s="275">
        <f>Masses!C14</f>
        <v>3.5</v>
      </c>
      <c r="B13" s="253"/>
      <c r="C13" s="24">
        <f>Concentrations!K11</f>
        <v>3.1963807069881782</v>
      </c>
      <c r="D13" s="24">
        <f>Concentrations!L11</f>
        <v>5.9179121397400031E-2</v>
      </c>
      <c r="E13" s="24"/>
      <c r="F13" s="24"/>
      <c r="G13" s="24"/>
      <c r="H13" s="24"/>
      <c r="I13" s="81"/>
      <c r="J13" s="152"/>
      <c r="K13" s="341"/>
      <c r="L13" s="308">
        <f>Masses!E14</f>
        <v>0.29235443179999998</v>
      </c>
      <c r="M13" s="305">
        <f>Masses!H14</f>
        <v>4.6709014365225168E-3</v>
      </c>
      <c r="N13" s="305"/>
      <c r="O13" s="305"/>
      <c r="P13" s="152"/>
      <c r="Q13" s="152"/>
      <c r="X13" s="24"/>
      <c r="Y13" s="1" t="s">
        <v>138</v>
      </c>
      <c r="Z13" s="29" t="s">
        <v>156</v>
      </c>
      <c r="AJ13" s="49"/>
    </row>
    <row r="14" spans="1:68" ht="15">
      <c r="A14" s="275"/>
      <c r="B14" s="253">
        <f>Masses!B15</f>
        <v>4</v>
      </c>
      <c r="C14" s="24"/>
      <c r="D14" s="24"/>
      <c r="E14" s="24">
        <f>E16+C15</f>
        <v>34.410966708865708</v>
      </c>
      <c r="F14" s="24">
        <f>SQRT(SUMSQ(F16,D15))</f>
        <v>0.24077494080048348</v>
      </c>
      <c r="G14" s="24">
        <f>LN($E$6/E14)/Constants!$B$25</f>
        <v>9.5063587121374145</v>
      </c>
      <c r="H14" s="24">
        <f>SQRT((G14*Constants!$B$26)^2+($F$6/$E$6)^2+(1-2*E14/$E$6)*(F14/E14)^2)/Constants!$B$25</f>
        <v>0.11149767711315114</v>
      </c>
      <c r="I14" s="81">
        <f>Constants!$B$15-G14</f>
        <v>2012.0879263241857</v>
      </c>
      <c r="J14" s="152">
        <f>Constants!$B$25*CF!E14/Concentrations!I12</f>
        <v>9.9137865653838017E-2</v>
      </c>
      <c r="K14" s="341">
        <f>J14*SQRT((F14/E14)^2+(1-(E14-E16)/(E14))*(Concentrations!J12/Concentrations!I12)^2)</f>
        <v>9.3792777027984313E-4</v>
      </c>
      <c r="L14" s="306"/>
      <c r="M14" s="305"/>
      <c r="N14" s="305">
        <f>AVERAGE(L13,L15)</f>
        <v>0.29398707245</v>
      </c>
      <c r="O14" s="305">
        <f t="shared" ref="O14" si="2">SQRT((M13^2+M15^2))/2</f>
        <v>3.2917767505777889E-3</v>
      </c>
      <c r="P14" s="152">
        <f>J14/N14</f>
        <v>0.33721845259266947</v>
      </c>
      <c r="Q14" s="152">
        <f>P14*SQRT(SUMSQ(K14/J14,O14/N14))</f>
        <v>4.9432202242780674E-3</v>
      </c>
      <c r="T14" s="24">
        <f>J14*10000</f>
        <v>991.37865653838014</v>
      </c>
      <c r="V14" s="33">
        <f>(T14)*(U14)</f>
        <v>0</v>
      </c>
      <c r="W14" s="24">
        <f>P14</f>
        <v>0.33721845259266947</v>
      </c>
      <c r="X14" s="24">
        <f>I14</f>
        <v>2012.0879263241857</v>
      </c>
      <c r="Y14" s="84" t="s">
        <v>139</v>
      </c>
      <c r="Z14" s="29"/>
      <c r="AJ14" s="49"/>
    </row>
    <row r="15" spans="1:68" ht="17.5">
      <c r="A15" s="275">
        <f>Masses!C16</f>
        <v>4.5</v>
      </c>
      <c r="B15" s="253"/>
      <c r="C15" s="24">
        <f>Concentrations!K13</f>
        <v>3.1668393901924157</v>
      </c>
      <c r="D15" s="24">
        <f>Concentrations!L13</f>
        <v>5.8177174640439297E-2</v>
      </c>
      <c r="E15" s="24"/>
      <c r="F15" s="24"/>
      <c r="G15" s="24"/>
      <c r="H15" s="24"/>
      <c r="I15" s="81"/>
      <c r="J15" s="152"/>
      <c r="K15" s="341"/>
      <c r="L15" s="308">
        <f>Masses!E16</f>
        <v>0.29561971310000001</v>
      </c>
      <c r="M15" s="305">
        <f>Masses!H16</f>
        <v>4.63959658514291E-3</v>
      </c>
      <c r="N15" s="305"/>
      <c r="O15" s="305"/>
      <c r="P15" s="152"/>
      <c r="Q15" s="152"/>
      <c r="X15" s="24"/>
      <c r="Y15" s="2" t="s">
        <v>140</v>
      </c>
      <c r="Z15" s="29" t="s">
        <v>157</v>
      </c>
      <c r="AJ15" s="49"/>
      <c r="AO15" s="238" t="s">
        <v>158</v>
      </c>
    </row>
    <row r="16" spans="1:68" ht="13.5" thickBot="1">
      <c r="A16" s="275"/>
      <c r="B16" s="253">
        <f>Masses!B17</f>
        <v>5</v>
      </c>
      <c r="C16" s="24"/>
      <c r="D16" s="24"/>
      <c r="E16" s="24">
        <f>E18+C17</f>
        <v>31.244127318673293</v>
      </c>
      <c r="F16" s="24">
        <f>SQRT(SUMSQ(F18,D17))</f>
        <v>0.23364072519218937</v>
      </c>
      <c r="G16" s="24">
        <f>LN($E$6/E16)/Constants!$B$25</f>
        <v>12.602628197720536</v>
      </c>
      <c r="H16" s="24">
        <f>SQRT((G16*Constants!$B$26)^2+($F$6/$E$6)^2+(1-2*E16/$E$6)*(F16/E16)^2)/Constants!$B$25</f>
        <v>0.13715307960116394</v>
      </c>
      <c r="I16" s="81">
        <f>Constants!$B$15-G16</f>
        <v>2008.9916568386025</v>
      </c>
      <c r="J16" s="152">
        <f>Constants!$B$25*CF!E16/Concentrations!I14</f>
        <v>9.4897011000103393E-2</v>
      </c>
      <c r="K16" s="341">
        <f>J16*SQRT((F16/E16)^2+(1-(E16-E18)/(E16))*(Concentrations!J14/Concentrations!I14)^2)</f>
        <v>9.5349797109918835E-4</v>
      </c>
      <c r="L16" s="306"/>
      <c r="M16" s="305"/>
      <c r="N16" s="305">
        <f>AVERAGE(L15,L17)</f>
        <v>0.29518387290000003</v>
      </c>
      <c r="O16" s="305">
        <f t="shared" ref="O16" si="3">SQRT((M15^2+M17^2))/2</f>
        <v>3.3246937610148901E-3</v>
      </c>
      <c r="P16" s="152">
        <f>J16/N16</f>
        <v>0.32148440247700055</v>
      </c>
      <c r="Q16" s="152">
        <f>P16*SQRT(SUMSQ(K16/J16,O16/N16))</f>
        <v>4.8523339491882058E-3</v>
      </c>
      <c r="T16" s="24">
        <f>J16*10000</f>
        <v>948.97011000103396</v>
      </c>
      <c r="V16" s="33">
        <f>(T16)*(U16)</f>
        <v>0</v>
      </c>
      <c r="W16" s="24">
        <f>P16</f>
        <v>0.32148440247700055</v>
      </c>
      <c r="X16" s="24">
        <f>I16</f>
        <v>2008.9916568386025</v>
      </c>
      <c r="Y16" s="84" t="s">
        <v>141</v>
      </c>
      <c r="Z16" s="29"/>
      <c r="AJ16" s="49"/>
    </row>
    <row r="17" spans="1:49" ht="18.5" thickTop="1" thickBot="1">
      <c r="A17" s="275">
        <f>Masses!C18</f>
        <v>5.5</v>
      </c>
      <c r="B17" s="253"/>
      <c r="C17" s="24">
        <f>Concentrations!K15</f>
        <v>2.8942735456043795</v>
      </c>
      <c r="D17" s="24">
        <f>Concentrations!L15</f>
        <v>5.5647089504973955E-2</v>
      </c>
      <c r="E17" s="24"/>
      <c r="F17" s="24"/>
      <c r="G17" s="24"/>
      <c r="H17" s="24"/>
      <c r="I17" s="81"/>
      <c r="J17" s="152"/>
      <c r="K17" s="341"/>
      <c r="L17" s="308">
        <f>Masses!E18</f>
        <v>0.2947480327</v>
      </c>
      <c r="M17" s="305">
        <f>Masses!H18</f>
        <v>4.7632444767464529E-3</v>
      </c>
      <c r="N17" s="305"/>
      <c r="O17" s="305"/>
      <c r="P17" s="152"/>
      <c r="Q17" s="152"/>
      <c r="X17" s="24"/>
      <c r="Y17" s="3" t="s">
        <v>142</v>
      </c>
      <c r="Z17" s="29" t="s">
        <v>159</v>
      </c>
      <c r="AJ17" s="49"/>
      <c r="AO17" s="240" t="s">
        <v>160</v>
      </c>
    </row>
    <row r="18" spans="1:49" ht="13.5" thickTop="1">
      <c r="A18" s="275"/>
      <c r="B18" s="253">
        <f>Masses!B19</f>
        <v>6</v>
      </c>
      <c r="C18" s="24"/>
      <c r="D18" s="24"/>
      <c r="E18" s="24">
        <f>E20+C19</f>
        <v>28.349853773068915</v>
      </c>
      <c r="F18" s="24">
        <f>SQRT(SUMSQ(F20,D19))</f>
        <v>0.2269171432438668</v>
      </c>
      <c r="G18" s="24">
        <f>LN($E$6/E18)/Constants!$B$25</f>
        <v>15.720246778565768</v>
      </c>
      <c r="H18" s="24">
        <f>SQRT((G18*Constants!$B$26)^2+($F$6/$E$6)^2+(1-2*E18/$E$6)*(F18/E18)^2)/Constants!$B$25</f>
        <v>0.16337487349027652</v>
      </c>
      <c r="I18" s="81">
        <f>Constants!$B$15-G18</f>
        <v>2005.8740382577573</v>
      </c>
      <c r="J18" s="152">
        <f>Constants!$B$25*CF!E18/Concentrations!I16</f>
        <v>9.0620193574578387E-2</v>
      </c>
      <c r="K18" s="341">
        <f>J18*SQRT((F18/E18)^2+(1-(E18-E20)/(E18))*(Concentrations!J16/Concentrations!I16)^2)</f>
        <v>9.6590315221281272E-4</v>
      </c>
      <c r="L18" s="306"/>
      <c r="M18" s="305"/>
      <c r="N18" s="305">
        <f>AVERAGE(L17,L19)</f>
        <v>0.29192607000000004</v>
      </c>
      <c r="O18" s="305">
        <f t="shared" ref="O18" si="4">SQRT((M17^2+M19^2))/2</f>
        <v>3.4009099213664507E-3</v>
      </c>
      <c r="P18" s="152">
        <f>J18/N18</f>
        <v>0.31042172278268387</v>
      </c>
      <c r="Q18" s="152">
        <f>P18*SQRT(SUMSQ(K18/J18,O18/N18))</f>
        <v>4.9016206163194354E-3</v>
      </c>
      <c r="T18" s="24">
        <f>J18*10000</f>
        <v>906.20193574578389</v>
      </c>
      <c r="V18" s="33">
        <f>(T18)*(U18)</f>
        <v>0</v>
      </c>
      <c r="W18" s="24">
        <f>P18</f>
        <v>0.31042172278268387</v>
      </c>
      <c r="X18" s="24">
        <f>I18</f>
        <v>2005.8740382577573</v>
      </c>
      <c r="Y18" s="84" t="s">
        <v>143</v>
      </c>
      <c r="Z18" s="29"/>
    </row>
    <row r="19" spans="1:49">
      <c r="A19" s="275">
        <f>Masses!C20</f>
        <v>6.5</v>
      </c>
      <c r="B19" s="253"/>
      <c r="C19" s="24">
        <f>Concentrations!K17</f>
        <v>2.8013675269957288</v>
      </c>
      <c r="D19" s="24">
        <f>Concentrations!L17</f>
        <v>5.5570534325309874E-2</v>
      </c>
      <c r="E19" s="24"/>
      <c r="F19" s="24"/>
      <c r="G19" s="24"/>
      <c r="H19" s="24"/>
      <c r="I19" s="81"/>
      <c r="J19" s="152"/>
      <c r="K19" s="341"/>
      <c r="L19" s="308">
        <f>Masses!E20</f>
        <v>0.28910410730000002</v>
      </c>
      <c r="M19" s="305">
        <f>Masses!H20</f>
        <v>4.8555386135566304E-3</v>
      </c>
      <c r="N19" s="305"/>
      <c r="O19" s="305"/>
      <c r="P19" s="152"/>
      <c r="Q19" s="152"/>
      <c r="X19" s="24"/>
    </row>
    <row r="20" spans="1:49">
      <c r="A20" s="275"/>
      <c r="B20" s="253">
        <f>Masses!B21</f>
        <v>7</v>
      </c>
      <c r="C20" s="24"/>
      <c r="D20" s="24"/>
      <c r="E20" s="24">
        <f>E22+C21</f>
        <v>25.548486246073185</v>
      </c>
      <c r="F20" s="24">
        <f>SQRT(SUMSQ(F22,D21))</f>
        <v>0.22000751262799442</v>
      </c>
      <c r="G20" s="24">
        <f>LN($E$6/E20)/Constants!$B$25</f>
        <v>19.057047142950911</v>
      </c>
      <c r="H20" s="24">
        <f>SQRT((G20*Constants!$B$26)^2+($F$6/$E$6)^2+(1-2*E20/$E$6)*(F20/E20)^2)/Constants!$B$25</f>
        <v>0.19227733005691033</v>
      </c>
      <c r="I20" s="81">
        <f>Constants!$B$15-G20</f>
        <v>2002.5372378933721</v>
      </c>
      <c r="J20" s="152">
        <f>Constants!$B$25*CF!E20/Concentrations!I18</f>
        <v>8.7631386877700126E-2</v>
      </c>
      <c r="K20" s="341">
        <f>J20*SQRT((F20/E20)^2+(1-(E20-E22)/(E20))*(Concentrations!J18/Concentrations!I18)^2)</f>
        <v>1.0049332064537995E-3</v>
      </c>
      <c r="L20" s="306"/>
      <c r="M20" s="305"/>
      <c r="N20" s="305">
        <f>AVERAGE(L19,L21)</f>
        <v>0.28591091655</v>
      </c>
      <c r="O20" s="305">
        <f t="shared" ref="O20" si="5">SQRT((M19^2+M21^2))/2</f>
        <v>3.4421265155925277E-3</v>
      </c>
      <c r="P20" s="152">
        <f>J20/N20</f>
        <v>0.30649891908683097</v>
      </c>
      <c r="Q20" s="152">
        <f>P20*SQRT(SUMSQ(K20/J20,O20/N20))</f>
        <v>5.0960934172753804E-3</v>
      </c>
      <c r="T20" s="24">
        <f>J20*10000</f>
        <v>876.31386877700129</v>
      </c>
      <c r="V20" s="33">
        <f>(T20)*(U20)</f>
        <v>0</v>
      </c>
      <c r="W20" s="24">
        <f>P20</f>
        <v>0.30649891908683097</v>
      </c>
      <c r="X20" s="24">
        <f>I20</f>
        <v>2002.5372378933721</v>
      </c>
    </row>
    <row r="21" spans="1:49">
      <c r="A21" s="275">
        <f>Masses!C22</f>
        <v>7.5</v>
      </c>
      <c r="B21" s="253"/>
      <c r="C21" s="24">
        <f>Concentrations!K19</f>
        <v>2.4006503233062846</v>
      </c>
      <c r="D21" s="24">
        <f>Concentrations!L19</f>
        <v>5.0532052179942069E-2</v>
      </c>
      <c r="E21" s="24"/>
      <c r="F21" s="24"/>
      <c r="G21" s="24"/>
      <c r="H21" s="24"/>
      <c r="I21" s="81"/>
      <c r="J21" s="152"/>
      <c r="K21" s="261"/>
      <c r="L21" s="308">
        <f>Masses!E22</f>
        <v>0.28271772579999999</v>
      </c>
      <c r="M21" s="305">
        <f>Masses!H22</f>
        <v>4.8802340691447548E-3</v>
      </c>
      <c r="N21" s="305"/>
      <c r="O21" s="305"/>
      <c r="P21" s="152"/>
      <c r="Q21" s="152"/>
      <c r="X21" s="24"/>
    </row>
    <row r="22" spans="1:49">
      <c r="A22" s="275"/>
      <c r="B22" s="253">
        <f>Masses!B23</f>
        <v>8</v>
      </c>
      <c r="C22" s="24"/>
      <c r="D22" s="24"/>
      <c r="E22" s="24">
        <f>E24+C23</f>
        <v>23.147835922766902</v>
      </c>
      <c r="F22" s="24">
        <f>SQRT(SUMSQ(F24,D23))</f>
        <v>0.21412570447109039</v>
      </c>
      <c r="G22" s="24">
        <f>LN($E$6/E22)/Constants!$B$25</f>
        <v>22.221720848295064</v>
      </c>
      <c r="H22" s="24">
        <f>SQRT((G22*Constants!$B$26)^2+($F$6/$E$6)^2+(1-2*E22/$E$6)*(F22/E22)^2)/Constants!$B$25</f>
        <v>0.22065010389879416</v>
      </c>
      <c r="I22" s="81">
        <f>Constants!$B$15-G22</f>
        <v>1999.372564188028</v>
      </c>
      <c r="J22" s="152">
        <f>Constants!$B$25*CF!E22/Concentrations!I20</f>
        <v>9.8891960290145742E-2</v>
      </c>
      <c r="K22" s="261">
        <f>J22*SQRT((F22/E22)^2+(1-(E22-E24)/(E22))*(Concentrations!J20/Concentrations!I20)^2)</f>
        <v>1.3135444164565785E-3</v>
      </c>
      <c r="L22" s="306"/>
      <c r="M22" s="305"/>
      <c r="N22" s="305">
        <f>AVERAGE(L21,L23)</f>
        <v>0.28311675989999996</v>
      </c>
      <c r="O22" s="305">
        <f t="shared" ref="O22" si="6">SQRT((M21^2+M23^2))/2</f>
        <v>3.4546374026019318E-3</v>
      </c>
      <c r="P22" s="152">
        <f>J22/N22</f>
        <v>0.34929744295277859</v>
      </c>
      <c r="Q22" s="152">
        <f>P22*SQRT(SUMSQ(K22/J22,O22/N22))</f>
        <v>6.3001567265097659E-3</v>
      </c>
      <c r="T22" s="24">
        <f>J22*10000</f>
        <v>988.91960290145744</v>
      </c>
      <c r="V22" s="33">
        <f>(T22)*(U22)</f>
        <v>0</v>
      </c>
      <c r="W22" s="24">
        <f>P22</f>
        <v>0.34929744295277859</v>
      </c>
      <c r="X22" s="24">
        <f>I22</f>
        <v>1999.372564188028</v>
      </c>
    </row>
    <row r="23" spans="1:49">
      <c r="A23" s="275">
        <f>Masses!C24</f>
        <v>8.5</v>
      </c>
      <c r="B23" s="253"/>
      <c r="C23" s="24">
        <f>Concentrations!K21</f>
        <v>1.7310701687898113</v>
      </c>
      <c r="D23" s="24">
        <f>Concentrations!L21</f>
        <v>4.1626380421781732E-2</v>
      </c>
      <c r="E23" s="24"/>
      <c r="F23" s="24"/>
      <c r="G23" s="24"/>
      <c r="H23" s="24"/>
      <c r="I23" s="81"/>
      <c r="J23" s="152"/>
      <c r="K23" s="261"/>
      <c r="L23" s="308">
        <f>Masses!E24</f>
        <v>0.28351579399999999</v>
      </c>
      <c r="M23" s="305">
        <f>Masses!H24</f>
        <v>4.8909501903192307E-3</v>
      </c>
      <c r="N23" s="305"/>
      <c r="O23" s="305"/>
      <c r="P23" s="152"/>
      <c r="Q23" s="152"/>
      <c r="X23" s="24"/>
    </row>
    <row r="24" spans="1:49" ht="15">
      <c r="A24" s="275"/>
      <c r="B24" s="253">
        <f>Masses!B25</f>
        <v>9</v>
      </c>
      <c r="C24" s="24"/>
      <c r="D24" s="24"/>
      <c r="E24" s="24">
        <f>E26+C25</f>
        <v>21.416765753977089</v>
      </c>
      <c r="F24" s="24">
        <f>SQRT(SUMSQ(F26,D25))</f>
        <v>0.21004061932926651</v>
      </c>
      <c r="G24" s="24">
        <f>LN($E$6/E24)/Constants!$B$25</f>
        <v>24.714519571304784</v>
      </c>
      <c r="H24" s="24">
        <f>SQRT((G24*Constants!$B$26)^2+($F$6/$E$6)^2+(1-2*E24/$E$6)*(F24/E24)^2)/Constants!$B$25</f>
        <v>0.24391239036466145</v>
      </c>
      <c r="I24" s="81">
        <f>Constants!$B$15-G24</f>
        <v>1996.8797654650182</v>
      </c>
      <c r="J24" s="152">
        <f>Constants!$B$25*CF!E24/Concentrations!I22</f>
        <v>0.10896992211647455</v>
      </c>
      <c r="K24" s="261">
        <f>J24*SQRT((F24/E24)^2+(1-(E24-E26)/(E24))*(Concentrations!J22/Concentrations!I22)^2)</f>
        <v>1.6342378620337428E-3</v>
      </c>
      <c r="L24" s="306"/>
      <c r="M24" s="305"/>
      <c r="N24" s="305">
        <f>AVERAGE(L23,L25)</f>
        <v>0.27376489790000003</v>
      </c>
      <c r="O24" s="305">
        <f t="shared" ref="O24" si="7">SQRT((M23^2+M25^2))/2</f>
        <v>3.4507519154039455E-3</v>
      </c>
      <c r="P24" s="152">
        <f>J24/N24</f>
        <v>0.39804198037207361</v>
      </c>
      <c r="Q24" s="152">
        <f>P24*SQRT(SUMSQ(K24/J24,O24/N24))</f>
        <v>7.797919654217441E-3</v>
      </c>
      <c r="T24" s="24">
        <f>J24*10000</f>
        <v>1089.6992211647455</v>
      </c>
      <c r="V24" s="33">
        <f>(T24)*(U24)</f>
        <v>0</v>
      </c>
      <c r="W24" s="24">
        <f>P24</f>
        <v>0.39804198037207361</v>
      </c>
      <c r="X24" s="24">
        <f>I24</f>
        <v>1996.8797654650182</v>
      </c>
      <c r="AB24" s="116" t="s">
        <v>161</v>
      </c>
      <c r="AC24" s="116" t="s">
        <v>162</v>
      </c>
      <c r="AD24" s="116" t="s">
        <v>163</v>
      </c>
    </row>
    <row r="25" spans="1:49">
      <c r="A25" s="275">
        <f>Masses!C26</f>
        <v>9.5</v>
      </c>
      <c r="B25" s="253"/>
      <c r="C25" s="24">
        <f>Concentrations!K23</f>
        <v>1.623866010298231</v>
      </c>
      <c r="D25" s="24">
        <f>Concentrations!L23</f>
        <v>4.0326174236202411E-2</v>
      </c>
      <c r="E25" s="24"/>
      <c r="F25" s="24"/>
      <c r="G25" s="24"/>
      <c r="H25" s="24"/>
      <c r="I25" s="81"/>
      <c r="J25" s="152"/>
      <c r="K25" s="261"/>
      <c r="L25" s="308">
        <f>Masses!E26</f>
        <v>0.26401400180000001</v>
      </c>
      <c r="M25" s="305">
        <f>Masses!H26</f>
        <v>4.8692259510596005E-3</v>
      </c>
      <c r="N25" s="305"/>
      <c r="O25" s="305"/>
      <c r="P25" s="152"/>
      <c r="Q25" s="152"/>
      <c r="T25" s="49"/>
      <c r="V25" s="49"/>
      <c r="X25" s="24"/>
    </row>
    <row r="26" spans="1:49">
      <c r="A26" s="275"/>
      <c r="B26" s="253">
        <f>Masses!B27</f>
        <v>10</v>
      </c>
      <c r="C26" s="24"/>
      <c r="D26" s="24"/>
      <c r="E26" s="24">
        <f>E28+C27</f>
        <v>19.792899743678859</v>
      </c>
      <c r="F26" s="24">
        <f>SQRT(SUMSQ(F28,D27))</f>
        <v>0.20613311582492827</v>
      </c>
      <c r="G26" s="24">
        <f>LN($E$6/E26)/Constants!$B$25</f>
        <v>27.243351899644914</v>
      </c>
      <c r="H26" s="24">
        <f>SQRT((G26*Constants!$B$26)^2+($F$6/$E$6)^2+(1-2*E26/$E$6)*(F26/E26)^2)/Constants!$B$25</f>
        <v>0.26849866453700189</v>
      </c>
      <c r="I26" s="81">
        <f>Constants!$B$15-G26</f>
        <v>1994.3509331366781</v>
      </c>
      <c r="J26" s="152">
        <f>Constants!$B$25*CF!E26/Concentrations!I24</f>
        <v>0.10365539793914934</v>
      </c>
      <c r="K26" s="261">
        <f>J26*SQRT((F26/E26)^2+(1-(E26-E28)/(E26))*(Concentrations!J24/Concentrations!I24)^2)</f>
        <v>1.620718363257549E-3</v>
      </c>
      <c r="L26" s="306"/>
      <c r="M26" s="305"/>
      <c r="N26" s="305">
        <f>AVERAGE(L25,L27)</f>
        <v>0.2666112665</v>
      </c>
      <c r="O26" s="305">
        <f t="shared" ref="O26" si="8">SQRT((M25^2+M27^2))/2</f>
        <v>3.4476417561691611E-3</v>
      </c>
      <c r="P26" s="152">
        <f>J26/N26</f>
        <v>0.38878851332844683</v>
      </c>
      <c r="Q26" s="152">
        <f>P26*SQRT(SUMSQ(K26/J26,O26/N26))</f>
        <v>7.8886026229016918E-3</v>
      </c>
      <c r="T26" s="24">
        <f>J26*10000</f>
        <v>1036.5539793914934</v>
      </c>
      <c r="V26" s="33">
        <f>(T26)*(U26)</f>
        <v>0</v>
      </c>
      <c r="W26" s="24">
        <f>P26</f>
        <v>0.38878851332844683</v>
      </c>
      <c r="X26" s="24">
        <f>I26</f>
        <v>1994.3509331366781</v>
      </c>
      <c r="AW26" s="49"/>
    </row>
    <row r="27" spans="1:49">
      <c r="A27" s="275">
        <f>Masses!C28</f>
        <v>10.5</v>
      </c>
      <c r="B27" s="253"/>
      <c r="C27" s="24">
        <f>Concentrations!K25</f>
        <v>1.5498799380825214</v>
      </c>
      <c r="D27" s="24">
        <f>Concentrations!L25</f>
        <v>3.9347986738534638E-2</v>
      </c>
      <c r="E27" s="24"/>
      <c r="F27" s="24"/>
      <c r="G27" s="24"/>
      <c r="H27" s="24"/>
      <c r="I27" s="81"/>
      <c r="J27" s="152"/>
      <c r="K27" s="261"/>
      <c r="L27" s="308">
        <f>Masses!E28</f>
        <v>0.26920853119999999</v>
      </c>
      <c r="M27" s="305">
        <f>Masses!H28</f>
        <v>4.8821689189388401E-3</v>
      </c>
      <c r="N27" s="305"/>
      <c r="O27" s="305"/>
      <c r="P27" s="152"/>
      <c r="Q27" s="152"/>
      <c r="X27" s="24"/>
    </row>
    <row r="28" spans="1:49">
      <c r="A28" s="275"/>
      <c r="B28" s="253">
        <f>Masses!B29</f>
        <v>11</v>
      </c>
      <c r="C28" s="24"/>
      <c r="D28" s="24"/>
      <c r="E28" s="24">
        <f>E30+C29</f>
        <v>18.243019805596337</v>
      </c>
      <c r="F28" s="24">
        <f>SQRT(SUMSQ(F30,D29))</f>
        <v>0.20234277199672193</v>
      </c>
      <c r="G28" s="24">
        <f>LN($E$6/E28)/Constants!$B$25</f>
        <v>29.858454135826733</v>
      </c>
      <c r="H28" s="24">
        <f>SQRT((G28*Constants!$B$26)^2+($F$6/$E$6)^2+(1-2*E28/$E$6)*(F28/E28)^2)/Constants!$B$25</f>
        <v>0.29510080930366239</v>
      </c>
      <c r="I28" s="81">
        <f>Constants!$B$15-G28</f>
        <v>1991.7358309004962</v>
      </c>
      <c r="J28" s="152">
        <f>Constants!$B$25*CF!E28/Concentrations!I26</f>
        <v>0.11080380340286598</v>
      </c>
      <c r="K28" s="261">
        <f>J28*SQRT((F28/E28)^2+(1-(E28-E30)/(E28))*(Concentrations!J26/Concentrations!I26)^2)</f>
        <v>1.9480327938213552E-3</v>
      </c>
      <c r="L28" s="306"/>
      <c r="M28" s="305"/>
      <c r="N28" s="305">
        <f>AVERAGE(L27,L29)</f>
        <v>0.26118575845000003</v>
      </c>
      <c r="O28" s="305">
        <f t="shared" ref="O28" si="9">SQRT((M27^2+M29^2))/2</f>
        <v>3.4788696218327202E-3</v>
      </c>
      <c r="P28" s="152">
        <f>J28/N28</f>
        <v>0.4242337103693104</v>
      </c>
      <c r="Q28" s="152">
        <f>P28*SQRT(SUMSQ(K28/J28,O28/N28))</f>
        <v>9.3571996550108859E-3</v>
      </c>
      <c r="T28" s="24">
        <f>J28*10000</f>
        <v>1108.0380340286599</v>
      </c>
      <c r="V28" s="33">
        <f>(T28)*(U28)</f>
        <v>0</v>
      </c>
      <c r="W28" s="24">
        <f>P28</f>
        <v>0.4242337103693104</v>
      </c>
      <c r="X28" s="24">
        <f>I28</f>
        <v>1991.7358309004962</v>
      </c>
      <c r="AW28" s="49"/>
    </row>
    <row r="29" spans="1:49">
      <c r="A29" s="275">
        <f>Masses!C30</f>
        <v>11.5</v>
      </c>
      <c r="B29" s="253"/>
      <c r="C29" s="24">
        <f>Concentrations!K27</f>
        <v>1.1418081530209334</v>
      </c>
      <c r="D29" s="24">
        <f>Concentrations!L27</f>
        <v>3.4211526948005139E-2</v>
      </c>
      <c r="E29" s="24"/>
      <c r="F29" s="24"/>
      <c r="G29" s="24"/>
      <c r="I29" s="81"/>
      <c r="J29" s="152"/>
      <c r="K29" s="261"/>
      <c r="L29" s="308">
        <f>Masses!E30</f>
        <v>0.25316298570000001</v>
      </c>
      <c r="M29" s="305">
        <f>Masses!H30</f>
        <v>4.9572736488708883E-3</v>
      </c>
      <c r="N29" s="305"/>
      <c r="O29" s="305"/>
      <c r="P29" s="152"/>
      <c r="Q29" s="152"/>
      <c r="X29" s="24"/>
    </row>
    <row r="30" spans="1:49">
      <c r="A30" s="275"/>
      <c r="B30" s="253">
        <f>Masses!B31</f>
        <v>12</v>
      </c>
      <c r="C30" s="24"/>
      <c r="D30" s="24"/>
      <c r="E30" s="24">
        <f>E32+C31</f>
        <v>17.101211652575405</v>
      </c>
      <c r="F30" s="24">
        <f>SQRT(SUMSQ(F32,D31))</f>
        <v>0.19942960864225581</v>
      </c>
      <c r="G30" s="24">
        <f>LN($E$6/E30)/Constants!$B$25</f>
        <v>31.931313055377448</v>
      </c>
      <c r="H30" s="24">
        <f>SQRT((G30*Constants!$B$26)^2+($F$6/$E$6)^2+(1-2*E30/$E$6)*(F30/E30)^2)/Constants!$B$25</f>
        <v>0.31708544289504015</v>
      </c>
      <c r="I30" s="81">
        <f>Constants!$B$15-G30</f>
        <v>1989.6629719809457</v>
      </c>
      <c r="J30" s="152">
        <f>Constants!$B$25*CF!E30/Concentrations!I28</f>
        <v>0.11884815796281578</v>
      </c>
      <c r="K30" s="261">
        <f>J30*SQRT((F30/E30)^2+(1-(E30-E32)/(E30))*(Concentrations!J28/Concentrations!I28)^2)</f>
        <v>2.3094497496803272E-3</v>
      </c>
      <c r="L30" s="306"/>
      <c r="M30" s="305"/>
      <c r="N30" s="305">
        <f>AVERAGE(L29,L31)</f>
        <v>0.26123617050000003</v>
      </c>
      <c r="O30" s="305">
        <f t="shared" ref="O30" si="10">SQRT((M29^2+M31^2))/2</f>
        <v>3.5257488142200893E-3</v>
      </c>
      <c r="P30" s="152">
        <f>J30/N30</f>
        <v>0.45494526173516914</v>
      </c>
      <c r="Q30" s="152">
        <f>P30*SQRT(SUMSQ(K30/J30,O30/N30))</f>
        <v>1.0763595635360291E-2</v>
      </c>
      <c r="T30" s="24">
        <f>J30*10000</f>
        <v>1188.4815796281578</v>
      </c>
      <c r="V30" s="33">
        <f>(T30)*(U30)</f>
        <v>0</v>
      </c>
      <c r="W30" s="24">
        <f>P30</f>
        <v>0.45494526173516914</v>
      </c>
      <c r="X30" s="24">
        <f>I30</f>
        <v>1989.6629719809457</v>
      </c>
      <c r="AW30" s="49"/>
    </row>
    <row r="31" spans="1:49">
      <c r="A31" s="275">
        <f>Masses!C32</f>
        <v>12.5</v>
      </c>
      <c r="B31" s="253"/>
      <c r="C31" s="24">
        <f>Concentrations!K29</f>
        <v>1.201952780756165</v>
      </c>
      <c r="D31" s="24">
        <f>Concentrations!L29</f>
        <v>3.5492974281175198E-2</v>
      </c>
      <c r="E31" s="24"/>
      <c r="F31" s="24"/>
      <c r="G31" s="24"/>
      <c r="H31" s="24"/>
      <c r="I31" s="81"/>
      <c r="J31" s="152"/>
      <c r="K31" s="261"/>
      <c r="L31" s="308">
        <f>Masses!E32</f>
        <v>0.2693093553</v>
      </c>
      <c r="M31" s="305">
        <f>Masses!H32</f>
        <v>5.0148835254777129E-3</v>
      </c>
      <c r="N31" s="305"/>
      <c r="O31" s="305"/>
      <c r="P31" s="152"/>
      <c r="Q31" s="152"/>
      <c r="X31" s="24"/>
    </row>
    <row r="32" spans="1:49">
      <c r="A32" s="275"/>
      <c r="B32" s="253">
        <f>Masses!B33</f>
        <v>13</v>
      </c>
      <c r="C32" s="24"/>
      <c r="D32" s="24"/>
      <c r="E32" s="24">
        <f>E34+C33</f>
        <v>15.899258871819239</v>
      </c>
      <c r="F32" s="24">
        <f>SQRT(SUMSQ(F34,D33))</f>
        <v>0.19624580907596256</v>
      </c>
      <c r="G32" s="24">
        <f>LN($E$6/E32)/Constants!$B$25</f>
        <v>34.268553671696736</v>
      </c>
      <c r="H32" s="24">
        <f>SQRT((G32*Constants!$B$26)^2+($F$6/$E$6)^2+(1-2*E32/$E$6)*(F32/E32)^2)/Constants!$B$25</f>
        <v>0.34290216116611388</v>
      </c>
      <c r="I32" s="81">
        <f>Constants!$B$15-G32</f>
        <v>1987.3257313646263</v>
      </c>
      <c r="J32" s="152">
        <f>Constants!$B$25*CF!E32/Concentrations!I30</f>
        <v>0.10299011276851647</v>
      </c>
      <c r="K32" s="261">
        <f>J32*SQRT((F32/E32)^2+(1-(E32-E34)/(E32))*(Concentrations!J30/Concentrations!I30)^2)</f>
        <v>1.9496056524568749E-3</v>
      </c>
      <c r="L32" s="306"/>
      <c r="M32" s="305"/>
      <c r="N32" s="305">
        <f>AVERAGE(L31,L33)</f>
        <v>0.26947815330000002</v>
      </c>
      <c r="O32" s="305">
        <f t="shared" ref="O32" si="11">SQRT((M31^2+M33^2))/2</f>
        <v>3.4006836598601815E-3</v>
      </c>
      <c r="P32" s="152">
        <f>J32/N32</f>
        <v>0.38218353327463023</v>
      </c>
      <c r="Q32" s="152">
        <f>P32*SQRT(SUMSQ(K32/J32,O32/N32))</f>
        <v>8.6949744080141982E-3</v>
      </c>
      <c r="T32" s="24">
        <f>J32*10000</f>
        <v>1029.9011276851647</v>
      </c>
      <c r="V32" s="33">
        <f>(T32)*(U32)</f>
        <v>0</v>
      </c>
      <c r="W32" s="24">
        <f>P32</f>
        <v>0.38218353327463023</v>
      </c>
      <c r="X32" s="24">
        <f>I32</f>
        <v>1987.3257313646263</v>
      </c>
      <c r="Z32" s="24"/>
      <c r="AW32" s="49"/>
    </row>
    <row r="33" spans="1:111">
      <c r="A33" s="275">
        <f>Masses!C34</f>
        <v>13.5</v>
      </c>
      <c r="B33" s="253"/>
      <c r="C33" s="24">
        <f>Concentrations!K31</f>
        <v>1.3924697670483837</v>
      </c>
      <c r="D33" s="24">
        <f>Concentrations!L31</f>
        <v>3.638188759039096E-2</v>
      </c>
      <c r="E33" s="24"/>
      <c r="F33" s="24"/>
      <c r="G33" s="24"/>
      <c r="H33" s="24"/>
      <c r="I33" s="81"/>
      <c r="J33" s="152"/>
      <c r="K33" s="261"/>
      <c r="L33" s="308">
        <f>Masses!E34</f>
        <v>0.26964695129999999</v>
      </c>
      <c r="M33" s="305">
        <f>Masses!H34</f>
        <v>4.5945120136585103E-3</v>
      </c>
      <c r="N33" s="305"/>
      <c r="O33" s="305"/>
      <c r="P33" s="152"/>
      <c r="Q33" s="152"/>
      <c r="X33" s="24"/>
    </row>
    <row r="34" spans="1:111">
      <c r="A34" s="275"/>
      <c r="B34" s="253">
        <f>Masses!B35</f>
        <v>14</v>
      </c>
      <c r="C34" s="24"/>
      <c r="D34" s="24"/>
      <c r="E34" s="24">
        <f>E36+C35</f>
        <v>14.506789104770855</v>
      </c>
      <c r="F34" s="24">
        <f>SQRT(SUMSQ(F36,D35))</f>
        <v>0.19284391573300752</v>
      </c>
      <c r="G34" s="24">
        <f>LN($E$6/E34)/Constants!$B$25</f>
        <v>37.208055135782907</v>
      </c>
      <c r="H34" s="24">
        <f>SQRT((G34*Constants!$B$26)^2+($F$6/$E$6)^2+(1-2*E34/$E$6)*(F34/E34)^2)/Constants!$B$25</f>
        <v>0.37746926422651195</v>
      </c>
      <c r="I34" s="81">
        <f>Constants!$B$15-G34</f>
        <v>1984.3862299005402</v>
      </c>
      <c r="J34" s="152">
        <f>Constants!$B$25*CF!E34/Concentrations!I32</f>
        <v>8.574309217077361E-2</v>
      </c>
      <c r="K34" s="261">
        <f>J34*SQRT((F34/E34)^2+(1-(E34-E36)/(E34))*(Concentrations!J32/Concentrations!I32)^2)</f>
        <v>1.5937966948168666E-3</v>
      </c>
      <c r="L34" s="306"/>
      <c r="M34" s="305"/>
      <c r="N34" s="305">
        <f>AVERAGE(L33,L35)</f>
        <v>0.27210445545</v>
      </c>
      <c r="O34" s="305">
        <f t="shared" ref="O34" si="12">SQRT((M33^2+M35^2))/2</f>
        <v>3.129863513405213E-3</v>
      </c>
      <c r="P34" s="152">
        <f>J34/N34</f>
        <v>0.31511094527641481</v>
      </c>
      <c r="Q34" s="152">
        <f>P34*SQRT(SUMSQ(K34/J34,O34/N34))</f>
        <v>6.8880506985852111E-3</v>
      </c>
      <c r="T34" s="24">
        <f>J34*10000</f>
        <v>857.43092170773616</v>
      </c>
      <c r="V34" s="33">
        <f>(T34)*(U34)</f>
        <v>0</v>
      </c>
      <c r="W34" s="24">
        <f>P34</f>
        <v>0.31511094527641481</v>
      </c>
      <c r="X34" s="24">
        <f>I34</f>
        <v>1984.3862299005402</v>
      </c>
      <c r="AW34" s="49"/>
    </row>
    <row r="35" spans="1:111">
      <c r="A35" s="275">
        <f>Masses!C36</f>
        <v>14.5</v>
      </c>
      <c r="B35" s="253"/>
      <c r="C35" s="24">
        <f>Concentrations!K33</f>
        <v>1.47901562328898</v>
      </c>
      <c r="D35" s="24">
        <f>Concentrations!L33</f>
        <v>3.6237778909435608E-2</v>
      </c>
      <c r="E35" s="24"/>
      <c r="F35" s="24"/>
      <c r="G35" s="24"/>
      <c r="H35" s="24"/>
      <c r="I35" s="24"/>
      <c r="K35" s="261"/>
      <c r="L35" s="308">
        <f>Masses!E36</f>
        <v>0.27456195960000002</v>
      </c>
      <c r="M35" s="305">
        <f>Masses!H36</f>
        <v>4.251428207853041E-3</v>
      </c>
      <c r="N35" s="305"/>
      <c r="O35" s="305"/>
      <c r="P35" s="152"/>
      <c r="Q35" s="152"/>
      <c r="X35" s="24"/>
    </row>
    <row r="36" spans="1:111" s="49" customFormat="1" ht="18" customHeight="1">
      <c r="A36" s="275"/>
      <c r="B36" s="253">
        <f>Masses!B37</f>
        <v>15</v>
      </c>
      <c r="C36" s="24"/>
      <c r="D36" s="24"/>
      <c r="E36" s="24">
        <f>E38+C37</f>
        <v>13.027773481481875</v>
      </c>
      <c r="F36" s="24">
        <f>SQRT(SUMSQ(F38,D37))</f>
        <v>0.18940855106079599</v>
      </c>
      <c r="G36" s="24">
        <f>LN($E$6/E36)/Constants!$B$25</f>
        <v>40.656766027396372</v>
      </c>
      <c r="H36" s="24">
        <f>SQRT((G36*Constants!$B$26)^2+($F$6/$E$6)^2+(1-2*E36/$E$6)*(F36/E36)^2)/Constants!$B$25</f>
        <v>0.42131569201025398</v>
      </c>
      <c r="I36" s="81">
        <f>Constants!$B$15-G36</f>
        <v>1980.9375190089268</v>
      </c>
      <c r="J36" s="152">
        <f>Constants!$B$25*CF!E36/Concentrations!I34</f>
        <v>7.8165185388270081E-2</v>
      </c>
      <c r="K36" s="261">
        <f>J36*SQRT((F36/E36)^2+(1-(E36-E38)/(E36))*(Concentrations!J34/Concentrations!I34)^2)</f>
        <v>1.5340346963077466E-3</v>
      </c>
      <c r="L36" s="306"/>
      <c r="M36" s="305"/>
      <c r="N36" s="305">
        <f>AVERAGE(L35,L37)</f>
        <v>0.27098767290000003</v>
      </c>
      <c r="O36" s="305">
        <f t="shared" ref="O36" si="13">SQRT((M35^2+M37^2))/2</f>
        <v>3.191451111752864E-3</v>
      </c>
      <c r="P36" s="152">
        <f>J36/N36</f>
        <v>0.28844553906005393</v>
      </c>
      <c r="Q36" s="152">
        <f>P36*SQRT(SUMSQ(K36/J36,O36/N36))</f>
        <v>6.6019535616052257E-3</v>
      </c>
      <c r="R36" s="24"/>
      <c r="S36" s="24"/>
      <c r="T36" s="24">
        <f t="shared" ref="T36" si="14">J36*10000</f>
        <v>781.65185388270083</v>
      </c>
      <c r="U36" s="33"/>
      <c r="V36" s="33">
        <f t="shared" ref="V36" si="15">(T36)*(U36)</f>
        <v>0</v>
      </c>
      <c r="W36" s="24">
        <f t="shared" ref="W36" si="16">P36</f>
        <v>0.28844553906005393</v>
      </c>
      <c r="X36" s="24">
        <f t="shared" ref="X36" si="17">I36</f>
        <v>1980.9375190089268</v>
      </c>
      <c r="Z36" s="33"/>
      <c r="AA36" s="33"/>
      <c r="AB36" s="33"/>
      <c r="AD36" s="33"/>
      <c r="AE36" s="33"/>
      <c r="AF36" s="33"/>
      <c r="AH36" s="33"/>
      <c r="AI36" s="33"/>
      <c r="AJ36" s="33"/>
      <c r="AV36" s="33"/>
      <c r="BI36" s="33"/>
      <c r="BJ36" s="33"/>
      <c r="BK36" s="33"/>
      <c r="BL36" s="33"/>
      <c r="BM36" s="33"/>
      <c r="BN36" s="33"/>
      <c r="BO36" s="33"/>
      <c r="BP36" s="33"/>
      <c r="DA36" s="33"/>
      <c r="DB36" s="33"/>
      <c r="DC36" s="33"/>
      <c r="DD36" s="33"/>
      <c r="DE36" s="33"/>
      <c r="DF36" s="33"/>
      <c r="DG36" s="33"/>
    </row>
    <row r="37" spans="1:111" s="49" customFormat="1" ht="18" customHeight="1">
      <c r="A37" s="275">
        <f>Masses!C38</f>
        <v>15.5</v>
      </c>
      <c r="B37" s="253"/>
      <c r="C37" s="24">
        <f>Concentrations!K35</f>
        <v>1.3389239406121676</v>
      </c>
      <c r="D37" s="24">
        <f>Concentrations!L35</f>
        <v>3.6282236357869188E-2</v>
      </c>
      <c r="E37" s="24"/>
      <c r="F37" s="24"/>
      <c r="G37" s="24"/>
      <c r="H37" s="24"/>
      <c r="I37" s="24"/>
      <c r="J37" s="152"/>
      <c r="K37" s="261"/>
      <c r="L37" s="308">
        <f>Masses!E38</f>
        <v>0.26741338619999999</v>
      </c>
      <c r="M37" s="305">
        <f>Masses!H38</f>
        <v>4.7609661822266549E-3</v>
      </c>
      <c r="N37" s="305"/>
      <c r="O37" s="305"/>
      <c r="P37" s="152"/>
      <c r="Q37" s="152"/>
      <c r="R37" s="51"/>
      <c r="S37" s="24"/>
      <c r="T37" s="33"/>
      <c r="U37" s="33"/>
      <c r="V37" s="33"/>
      <c r="W37" s="33"/>
      <c r="X37" s="24"/>
      <c r="Z37" s="33"/>
      <c r="AA37" s="33"/>
      <c r="AB37" s="33"/>
      <c r="AD37" s="33"/>
      <c r="AE37" s="33"/>
      <c r="AF37" s="33"/>
      <c r="AH37" s="33"/>
      <c r="AI37" s="33"/>
      <c r="AJ37" s="33"/>
      <c r="AV37" s="33"/>
      <c r="AW37" s="33"/>
      <c r="BI37" s="33"/>
      <c r="BJ37" s="33"/>
      <c r="BK37" s="33"/>
      <c r="BL37" s="33"/>
      <c r="BM37" s="33"/>
      <c r="BN37" s="33"/>
      <c r="BO37" s="33"/>
      <c r="BP37" s="33"/>
      <c r="DA37" s="33"/>
      <c r="DB37" s="33"/>
      <c r="DC37" s="33"/>
      <c r="DD37" s="33"/>
      <c r="DE37" s="33"/>
      <c r="DF37" s="33"/>
      <c r="DG37" s="33"/>
    </row>
    <row r="38" spans="1:111" s="49" customFormat="1" ht="18" customHeight="1">
      <c r="A38" s="275"/>
      <c r="B38" s="253">
        <f>Masses!B39</f>
        <v>16</v>
      </c>
      <c r="C38" s="51"/>
      <c r="D38" s="51"/>
      <c r="E38" s="24">
        <f t="shared" ref="E38" si="18">E40+C39</f>
        <v>11.688849540869708</v>
      </c>
      <c r="F38" s="24">
        <f t="shared" ref="F38" si="19">SQRT(SUMSQ(F40,D39))</f>
        <v>0.18590104502079022</v>
      </c>
      <c r="G38" s="24">
        <f>LN($E$6/E38)/Constants!$B$25</f>
        <v>44.134818449963262</v>
      </c>
      <c r="H38" s="24">
        <f>SQRT((G38*Constants!$B$26)^2+($F$6/$E$6)^2+(1-2*E38/$E$6)*(F38/E38)^2)/Constants!$B$25</f>
        <v>0.46886782218269812</v>
      </c>
      <c r="I38" s="81">
        <f>Constants!$B$15-G38</f>
        <v>1977.4594665863599</v>
      </c>
      <c r="J38" s="152">
        <f>Constants!$B$25*CF!E38/Concentrations!I36</f>
        <v>7.8305437868672334E-2</v>
      </c>
      <c r="K38" s="261">
        <f>J38*SQRT((F38/E38)^2+(1-(E38-E40)/(E38))*(Concentrations!J36/Concentrations!I36)^2)</f>
        <v>1.6983459123945373E-3</v>
      </c>
      <c r="L38" s="125"/>
      <c r="M38" s="24"/>
      <c r="N38" s="24">
        <f t="shared" ref="N38" si="20">AVERAGE(L37,L39)</f>
        <v>0.26879636765000003</v>
      </c>
      <c r="O38" s="305">
        <f t="shared" ref="O38" si="21">SQRT((M37^2+M39^2))/2</f>
        <v>3.4759734886899854E-3</v>
      </c>
      <c r="P38" s="152">
        <f t="shared" ref="P38" si="22">J38/N38</f>
        <v>0.29131880967466756</v>
      </c>
      <c r="Q38" s="152">
        <f t="shared" ref="Q38" si="23">P38*SQRT(SUMSQ(K38/J38,O38/N38))</f>
        <v>7.3561785351594329E-3</v>
      </c>
      <c r="R38" s="24"/>
      <c r="S38" s="24"/>
      <c r="T38" s="24">
        <f t="shared" ref="T38" si="24">J38*10000</f>
        <v>783.05437868672334</v>
      </c>
      <c r="U38" s="33"/>
      <c r="V38" s="33">
        <f t="shared" ref="V38" si="25">(T38)*(U38)</f>
        <v>0</v>
      </c>
      <c r="W38" s="24">
        <f t="shared" ref="W38" si="26">P38</f>
        <v>0.29131880967466756</v>
      </c>
      <c r="X38" s="24">
        <f t="shared" ref="X38" si="27">I38</f>
        <v>1977.4594665863599</v>
      </c>
      <c r="Z38" s="33"/>
      <c r="AA38" s="33"/>
      <c r="AB38" s="33"/>
      <c r="AD38" s="33"/>
      <c r="AE38" s="33"/>
      <c r="AF38" s="33"/>
      <c r="AI38" s="33"/>
      <c r="AJ38" s="33"/>
      <c r="AV38" s="33"/>
      <c r="BI38" s="33"/>
      <c r="BJ38" s="33"/>
      <c r="BK38" s="33"/>
      <c r="BL38" s="33"/>
      <c r="BM38" s="33"/>
      <c r="BN38" s="33"/>
      <c r="BO38" s="33"/>
      <c r="BP38" s="33"/>
      <c r="DA38" s="33"/>
      <c r="DB38" s="33"/>
      <c r="DC38" s="33"/>
      <c r="DD38" s="33"/>
      <c r="DE38" s="33"/>
      <c r="DF38" s="33"/>
      <c r="DG38" s="33"/>
    </row>
    <row r="39" spans="1:111" s="49" customFormat="1" ht="18" customHeight="1">
      <c r="A39" s="275">
        <f>Masses!C40</f>
        <v>16.5</v>
      </c>
      <c r="B39" s="253"/>
      <c r="C39" s="24">
        <f>Concentrations!K37</f>
        <v>1.1622849577200742</v>
      </c>
      <c r="D39" s="24">
        <f>Concentrations!L37</f>
        <v>3.5194273141663693E-2</v>
      </c>
      <c r="E39" s="24"/>
      <c r="F39" s="24"/>
      <c r="G39" s="24"/>
      <c r="H39" s="24"/>
      <c r="I39" s="24"/>
      <c r="J39" s="152"/>
      <c r="K39" s="261"/>
      <c r="L39" s="120">
        <f>Masses!E40</f>
        <v>0.27017934910000002</v>
      </c>
      <c r="M39" s="24">
        <f>Masses!H40</f>
        <v>5.065843245501845E-3</v>
      </c>
      <c r="N39" s="24"/>
      <c r="O39" s="305"/>
      <c r="P39" s="152"/>
      <c r="Q39" s="152"/>
      <c r="R39" s="51"/>
      <c r="S39" s="24"/>
      <c r="T39" s="33"/>
      <c r="U39" s="33"/>
      <c r="V39" s="33"/>
      <c r="W39" s="33"/>
      <c r="X39" s="24"/>
      <c r="Z39" s="33"/>
      <c r="AA39" s="33"/>
      <c r="AB39" s="33"/>
      <c r="AD39" s="33"/>
      <c r="AE39" s="33"/>
      <c r="AF39" s="33"/>
      <c r="AI39" s="33"/>
      <c r="AJ39" s="33"/>
      <c r="AV39" s="33"/>
      <c r="AW39" s="33"/>
      <c r="BI39" s="33"/>
      <c r="BJ39" s="33"/>
      <c r="BK39" s="33"/>
      <c r="BL39" s="33"/>
      <c r="BM39" s="33"/>
      <c r="BN39" s="33"/>
      <c r="BO39" s="33"/>
      <c r="BP39" s="33"/>
      <c r="DA39" s="33"/>
      <c r="DB39" s="33"/>
      <c r="DC39" s="33"/>
      <c r="DD39" s="33"/>
      <c r="DE39" s="33"/>
      <c r="DF39" s="33"/>
      <c r="DG39" s="33"/>
    </row>
    <row r="40" spans="1:111" s="49" customFormat="1" ht="18" customHeight="1">
      <c r="A40" s="275"/>
      <c r="B40" s="253">
        <f>Masses!B41</f>
        <v>17</v>
      </c>
      <c r="C40" s="51"/>
      <c r="D40" s="51"/>
      <c r="E40" s="24">
        <f t="shared" ref="E40" si="28">E42+C41</f>
        <v>10.526564583149634</v>
      </c>
      <c r="F40" s="24">
        <f t="shared" ref="F40" si="29">SQRT(SUMSQ(F42,D41))</f>
        <v>0.18253920586507391</v>
      </c>
      <c r="G40" s="24">
        <f>LN($E$6/E40)/Constants!$B$25</f>
        <v>47.493732810759937</v>
      </c>
      <c r="H40" s="24">
        <f>SQRT((G40*Constants!$B$26)^2+($F$6/$E$6)^2+(1-2*E40/$E$6)*(F40/E40)^2)/Constants!$B$25</f>
        <v>0.51831663013878326</v>
      </c>
      <c r="I40" s="81">
        <f>Constants!$B$15-G40</f>
        <v>1974.1005522255632</v>
      </c>
      <c r="J40" s="152">
        <f>Constants!$B$25*CF!E40/Concentrations!I38</f>
        <v>8.4789942662707271E-2</v>
      </c>
      <c r="K40" s="261">
        <f>J40*SQRT((F40/E40)^2+(1-(E40-E42)/(E40))*(Concentrations!J38/Concentrations!I38)^2)</f>
        <v>2.1092544277200973E-3</v>
      </c>
      <c r="L40" s="125"/>
      <c r="M40" s="24"/>
      <c r="N40" s="24">
        <f t="shared" ref="N40" si="30">AVERAGE(L39,L41)</f>
        <v>0.27081262015000002</v>
      </c>
      <c r="O40" s="305">
        <f t="shared" ref="O40" si="31">SQRT((M39^2+M41^2))/2</f>
        <v>3.5848523572581002E-3</v>
      </c>
      <c r="P40" s="152">
        <f t="shared" ref="P40" si="32">J40/N40</f>
        <v>0.31309450281801154</v>
      </c>
      <c r="Q40" s="152">
        <f t="shared" ref="Q40" si="33">P40*SQRT(SUMSQ(K40/J40,O40/N40))</f>
        <v>8.8226870163622372E-3</v>
      </c>
      <c r="R40" s="24"/>
      <c r="S40" s="24"/>
      <c r="T40" s="24">
        <f t="shared" ref="T40" si="34">J40*10000</f>
        <v>847.89942662707267</v>
      </c>
      <c r="U40" s="33"/>
      <c r="V40" s="33">
        <f t="shared" ref="V40" si="35">(T40)*(U40)</f>
        <v>0</v>
      </c>
      <c r="W40" s="24">
        <f t="shared" ref="W40" si="36">P40</f>
        <v>0.31309450281801154</v>
      </c>
      <c r="X40" s="24">
        <f t="shared" ref="X40" si="37">I40</f>
        <v>1974.1005522255632</v>
      </c>
      <c r="Z40" s="33"/>
      <c r="AA40" s="33"/>
      <c r="AB40" s="33"/>
      <c r="AD40" s="33"/>
      <c r="AE40" s="33"/>
      <c r="AF40" s="33"/>
      <c r="AI40" s="33"/>
      <c r="AJ40" s="33"/>
      <c r="AV40" s="33"/>
      <c r="BI40" s="33"/>
      <c r="BJ40" s="33"/>
      <c r="BK40" s="33"/>
      <c r="BL40" s="33"/>
      <c r="BM40" s="33"/>
      <c r="BN40" s="33"/>
      <c r="BO40" s="33"/>
      <c r="BP40" s="33"/>
      <c r="DA40" s="33"/>
      <c r="DB40" s="33"/>
      <c r="DC40" s="33"/>
      <c r="DD40" s="33"/>
      <c r="DE40" s="33"/>
      <c r="DF40" s="33"/>
      <c r="DG40" s="33"/>
    </row>
    <row r="41" spans="1:111" s="49" customFormat="1" ht="18" customHeight="1">
      <c r="A41" s="275">
        <f>Masses!C42</f>
        <v>17.5</v>
      </c>
      <c r="B41" s="253"/>
      <c r="C41" s="24">
        <f>Concentrations!K39</f>
        <v>0.93382548796933318</v>
      </c>
      <c r="D41" s="24">
        <f>Concentrations!L39</f>
        <v>3.2795482433046551E-2</v>
      </c>
      <c r="E41" s="24"/>
      <c r="F41" s="24"/>
      <c r="G41" s="24"/>
      <c r="H41" s="24"/>
      <c r="I41" s="24"/>
      <c r="J41" s="152"/>
      <c r="K41" s="261"/>
      <c r="L41" s="120">
        <f>Masses!E42</f>
        <v>0.27144589120000001</v>
      </c>
      <c r="M41" s="24">
        <f>Masses!H42</f>
        <v>5.0736473966328365E-3</v>
      </c>
      <c r="N41" s="24"/>
      <c r="O41" s="305"/>
      <c r="P41" s="152"/>
      <c r="Q41" s="152"/>
      <c r="R41" s="51"/>
      <c r="S41" s="24"/>
      <c r="T41" s="33"/>
      <c r="U41" s="33"/>
      <c r="V41" s="33"/>
      <c r="W41" s="33"/>
      <c r="X41" s="24"/>
      <c r="Z41" s="33"/>
      <c r="AA41" s="33"/>
      <c r="AB41" s="33"/>
      <c r="AD41" s="33"/>
      <c r="AE41" s="33"/>
      <c r="AF41" s="33"/>
      <c r="AH41" s="33"/>
      <c r="AI41" s="33"/>
      <c r="AJ41" s="33"/>
      <c r="AV41" s="33"/>
      <c r="AW41" s="33"/>
      <c r="BI41" s="33"/>
      <c r="BJ41" s="33"/>
      <c r="BK41" s="33"/>
      <c r="BL41" s="33"/>
      <c r="BM41" s="33"/>
      <c r="BN41" s="33"/>
      <c r="BO41" s="33"/>
      <c r="BP41" s="33"/>
      <c r="DA41" s="33"/>
      <c r="DB41" s="33"/>
      <c r="DC41" s="33"/>
      <c r="DD41" s="33"/>
      <c r="DE41" s="33"/>
      <c r="DF41" s="33"/>
      <c r="DG41" s="33"/>
    </row>
    <row r="42" spans="1:111" s="49" customFormat="1" ht="18" customHeight="1">
      <c r="A42" s="275"/>
      <c r="B42" s="253">
        <f>Masses!B43</f>
        <v>18</v>
      </c>
      <c r="C42" s="51"/>
      <c r="D42" s="51"/>
      <c r="E42" s="24">
        <f t="shared" ref="E42" si="38">E44+C43</f>
        <v>9.5927390951803009</v>
      </c>
      <c r="F42" s="24">
        <f t="shared" ref="F42" si="39">SQRT(SUMSQ(F44,D43))</f>
        <v>0.17956897841730785</v>
      </c>
      <c r="G42" s="24">
        <f>LN($E$6/E42)/Constants!$B$25</f>
        <v>50.472996426617399</v>
      </c>
      <c r="H42" s="24">
        <f>SQRT((G42*Constants!$B$26)^2+($F$6/$E$6)^2+(1-2*E42/$E$6)*(F42/E42)^2)/Constants!$B$25</f>
        <v>0.56530620671523613</v>
      </c>
      <c r="I42" s="81">
        <f>Constants!$B$15-G42</f>
        <v>1971.1212886097057</v>
      </c>
      <c r="J42" s="152">
        <f>Constants!$B$25*CF!E42/Concentrations!I40</f>
        <v>8.8573664451366718E-2</v>
      </c>
      <c r="K42" s="261">
        <f>J42*SQRT((F42/E42)^2+(1-(E42-E44)/(E42))*(Concentrations!J40/Concentrations!I40)^2)</f>
        <v>2.4514959933052741E-3</v>
      </c>
      <c r="L42" s="125"/>
      <c r="M42" s="24"/>
      <c r="N42" s="24">
        <f t="shared" ref="N42" si="40">AVERAGE(L41,L43)</f>
        <v>0.27168290119999999</v>
      </c>
      <c r="O42" s="305">
        <f t="shared" ref="O42" si="41">SQRT((M41^2+M43^2))/2</f>
        <v>3.5198977721955325E-3</v>
      </c>
      <c r="P42" s="152">
        <f t="shared" ref="P42" si="42">J42/N42</f>
        <v>0.32601854610704045</v>
      </c>
      <c r="Q42" s="152">
        <f t="shared" ref="Q42" si="43">P42*SQRT(SUMSQ(K42/J42,O42/N42))</f>
        <v>9.9630460623165752E-3</v>
      </c>
      <c r="R42" s="24"/>
      <c r="S42" s="24"/>
      <c r="T42" s="24">
        <f t="shared" ref="T42" si="44">J42*10000</f>
        <v>885.73664451366722</v>
      </c>
      <c r="U42" s="33"/>
      <c r="V42" s="33">
        <f t="shared" ref="V42" si="45">(T42)*(U42)</f>
        <v>0</v>
      </c>
      <c r="W42" s="24">
        <f t="shared" ref="W42" si="46">P42</f>
        <v>0.32601854610704045</v>
      </c>
      <c r="X42" s="24">
        <f t="shared" ref="X42" si="47">I42</f>
        <v>1971.1212886097057</v>
      </c>
      <c r="Z42" s="33"/>
      <c r="AA42" s="33"/>
      <c r="AB42" s="33"/>
      <c r="AD42" s="33"/>
      <c r="AE42" s="121" t="s">
        <v>164</v>
      </c>
      <c r="AF42" s="123"/>
      <c r="AH42" s="33"/>
      <c r="AI42" s="33"/>
      <c r="AJ42" s="33"/>
      <c r="AV42" s="33"/>
      <c r="BI42" s="33"/>
      <c r="BJ42" s="33"/>
      <c r="BK42" s="33"/>
      <c r="BL42" s="33"/>
      <c r="BM42" s="33"/>
      <c r="BN42" s="33"/>
      <c r="BO42" s="33"/>
      <c r="BP42" s="33"/>
      <c r="DA42" s="33"/>
      <c r="DB42" s="33"/>
      <c r="DC42" s="33"/>
      <c r="DD42" s="33"/>
      <c r="DE42" s="33"/>
      <c r="DF42" s="33"/>
      <c r="DG42" s="33"/>
    </row>
    <row r="43" spans="1:111" s="49" customFormat="1" ht="18" customHeight="1">
      <c r="A43" s="275">
        <f>Masses!C44</f>
        <v>18.5</v>
      </c>
      <c r="B43" s="253"/>
      <c r="C43" s="24">
        <f>Concentrations!K41</f>
        <v>0.9010610932229477</v>
      </c>
      <c r="D43" s="24">
        <f>Concentrations!L41</f>
        <v>3.2173109191371625E-2</v>
      </c>
      <c r="E43" s="24"/>
      <c r="F43" s="24"/>
      <c r="G43" s="24"/>
      <c r="H43" s="24"/>
      <c r="I43" s="24"/>
      <c r="J43" s="152"/>
      <c r="K43" s="261"/>
      <c r="L43" s="120">
        <f>Masses!E44</f>
        <v>0.27191991119999998</v>
      </c>
      <c r="M43" s="24">
        <f>Masses!H44</f>
        <v>4.8802482930143144E-3</v>
      </c>
      <c r="N43" s="24"/>
      <c r="O43" s="305"/>
      <c r="P43" s="152"/>
      <c r="Q43" s="152"/>
      <c r="R43" s="51"/>
      <c r="S43" s="24"/>
      <c r="T43" s="33"/>
      <c r="U43" s="33"/>
      <c r="V43" s="33"/>
      <c r="W43" s="33"/>
      <c r="X43" s="24"/>
      <c r="Z43" s="33"/>
      <c r="AA43" s="33"/>
      <c r="AB43" s="33"/>
      <c r="AD43" s="33"/>
      <c r="AE43" s="122" t="s">
        <v>165</v>
      </c>
      <c r="AF43" s="104"/>
      <c r="AH43" s="33"/>
      <c r="AI43" s="33"/>
      <c r="AJ43" s="33"/>
      <c r="AV43" s="33"/>
      <c r="AW43" s="33"/>
      <c r="BI43" s="33"/>
      <c r="BJ43" s="33"/>
      <c r="BK43" s="33"/>
      <c r="BL43" s="33"/>
      <c r="BM43" s="33"/>
      <c r="BN43" s="33"/>
      <c r="BO43" s="33"/>
      <c r="BP43" s="33"/>
      <c r="DA43" s="33"/>
      <c r="DB43" s="33"/>
      <c r="DC43" s="33"/>
      <c r="DD43" s="33"/>
      <c r="DE43" s="33"/>
      <c r="DF43" s="33"/>
      <c r="DG43" s="33"/>
    </row>
    <row r="44" spans="1:111" s="49" customFormat="1" ht="18" customHeight="1">
      <c r="A44" s="275"/>
      <c r="B44" s="253">
        <f>Masses!B45</f>
        <v>19</v>
      </c>
      <c r="C44" s="51"/>
      <c r="D44" s="51"/>
      <c r="E44" s="24">
        <f t="shared" ref="E44" si="48">E46+C45</f>
        <v>8.691678001957353</v>
      </c>
      <c r="F44" s="24">
        <f t="shared" ref="F44" si="49">SQRT(SUMSQ(F46,D45))</f>
        <v>0.17666326458773382</v>
      </c>
      <c r="G44" s="24">
        <f>LN($E$6/E44)/Constants!$B$25</f>
        <v>53.636505277602751</v>
      </c>
      <c r="H44" s="24">
        <f>SQRT((G44*Constants!$B$26)^2+($F$6/$E$6)^2+(1-2*E44/$E$6)*(F44/E44)^2)/Constants!$B$25</f>
        <v>0.61925930511480132</v>
      </c>
      <c r="I44" s="81">
        <f>Constants!$B$15-G44</f>
        <v>1967.9577797587203</v>
      </c>
      <c r="J44" s="152">
        <f>Constants!$B$25*CF!E44/Concentrations!I42</f>
        <v>8.231146583212394E-2</v>
      </c>
      <c r="K44" s="261">
        <f>J44*SQRT((F44/E44)^2+(1-(E44-E46)/(E44))*(Concentrations!J42/Concentrations!I42)^2)</f>
        <v>2.3955427750721749E-3</v>
      </c>
      <c r="L44" s="125"/>
      <c r="M44" s="24"/>
      <c r="N44" s="24">
        <f t="shared" ref="N44" si="50">AVERAGE(L43,L45)</f>
        <v>0.26993887169999997</v>
      </c>
      <c r="O44" s="305">
        <f t="shared" ref="O44" si="51">SQRT((M43^2+M45^2))/2</f>
        <v>3.4137944835194102E-3</v>
      </c>
      <c r="P44" s="152">
        <f t="shared" ref="P44" si="52">J44/N44</f>
        <v>0.30492631651658469</v>
      </c>
      <c r="Q44" s="152">
        <f t="shared" ref="Q44" si="53">P44*SQRT(SUMSQ(K44/J44,O44/N44))</f>
        <v>9.676030855637353E-3</v>
      </c>
      <c r="R44" s="24"/>
      <c r="S44" s="24"/>
      <c r="T44" s="24">
        <f t="shared" ref="T44" si="54">J44*10000</f>
        <v>823.1146583212394</v>
      </c>
      <c r="U44" s="33"/>
      <c r="V44" s="33">
        <f t="shared" ref="V44" si="55">(T44)*(U44)</f>
        <v>0</v>
      </c>
      <c r="W44" s="24">
        <f t="shared" ref="W44" si="56">P44</f>
        <v>0.30492631651658469</v>
      </c>
      <c r="X44" s="24">
        <f t="shared" ref="X44" si="57">I44</f>
        <v>1967.9577797587203</v>
      </c>
      <c r="Z44" s="33"/>
      <c r="AA44" s="33"/>
      <c r="AB44" s="33"/>
      <c r="AD44" s="33"/>
      <c r="AE44" s="122" t="s">
        <v>166</v>
      </c>
      <c r="AF44" s="104">
        <f>MAX(V6:V36)</f>
        <v>0</v>
      </c>
      <c r="AH44" s="33"/>
      <c r="AI44" s="33"/>
      <c r="AJ44" s="33"/>
      <c r="AV44" s="33"/>
      <c r="BI44" s="33"/>
      <c r="BJ44" s="33"/>
      <c r="BK44" s="33"/>
      <c r="BL44" s="33"/>
      <c r="BM44" s="33"/>
      <c r="BN44" s="33"/>
      <c r="BO44" s="33"/>
      <c r="BP44" s="33"/>
      <c r="DA44" s="33"/>
      <c r="DB44" s="33"/>
      <c r="DC44" s="33"/>
      <c r="DD44" s="33"/>
      <c r="DE44" s="33"/>
      <c r="DF44" s="33"/>
      <c r="DG44" s="33"/>
    </row>
    <row r="45" spans="1:111" s="49" customFormat="1" ht="18" customHeight="1">
      <c r="A45" s="275">
        <f>Masses!C46</f>
        <v>19.5</v>
      </c>
      <c r="B45" s="253"/>
      <c r="C45" s="24">
        <f>Concentrations!K43</f>
        <v>0.87658462555755778</v>
      </c>
      <c r="D45" s="24">
        <f>Concentrations!L43</f>
        <v>3.1546748826676047E-2</v>
      </c>
      <c r="E45" s="24"/>
      <c r="F45" s="24"/>
      <c r="G45" s="24"/>
      <c r="H45" s="24"/>
      <c r="I45" s="24"/>
      <c r="J45" s="152"/>
      <c r="K45" s="261"/>
      <c r="L45" s="120">
        <f>Masses!E46</f>
        <v>0.26795783220000002</v>
      </c>
      <c r="M45" s="24">
        <f>Masses!H46</f>
        <v>4.7748453065372815E-3</v>
      </c>
      <c r="N45" s="24"/>
      <c r="O45" s="305"/>
      <c r="P45" s="152"/>
      <c r="Q45" s="152"/>
      <c r="R45" s="51"/>
      <c r="S45" s="24"/>
      <c r="T45" s="33"/>
      <c r="U45" s="33"/>
      <c r="V45" s="33"/>
      <c r="W45" s="33"/>
      <c r="X45" s="24"/>
      <c r="Z45" s="33"/>
      <c r="AA45" s="33"/>
      <c r="AB45" s="33"/>
      <c r="AD45" s="33"/>
      <c r="AE45" s="33"/>
      <c r="AF45" s="33"/>
      <c r="AH45" s="33"/>
      <c r="AI45" s="33"/>
      <c r="AJ45" s="33"/>
      <c r="AV45" s="33"/>
      <c r="AW45" s="33"/>
      <c r="BI45" s="33"/>
      <c r="BJ45" s="33"/>
      <c r="BK45" s="33"/>
      <c r="BL45" s="33"/>
      <c r="BM45" s="33"/>
      <c r="BN45" s="33"/>
      <c r="BO45" s="33"/>
      <c r="BP45" s="33"/>
      <c r="DA45" s="33"/>
      <c r="DB45" s="33"/>
      <c r="DC45" s="33"/>
      <c r="DD45" s="33"/>
      <c r="DE45" s="33"/>
      <c r="DF45" s="33"/>
      <c r="DG45" s="33"/>
    </row>
    <row r="46" spans="1:111" s="49" customFormat="1" ht="18" customHeight="1">
      <c r="A46" s="275"/>
      <c r="B46" s="253">
        <f>Masses!B47</f>
        <v>20</v>
      </c>
      <c r="C46" s="51"/>
      <c r="D46" s="51"/>
      <c r="E46" s="24">
        <f t="shared" ref="E46" si="58">E48+C47</f>
        <v>7.8150933763997958</v>
      </c>
      <c r="F46" s="24">
        <f t="shared" ref="F46" si="59">SQRT(SUMSQ(F48,D47))</f>
        <v>0.17382379495702613</v>
      </c>
      <c r="G46" s="24">
        <f>LN($E$6/E46)/Constants!$B$25</f>
        <v>57.045956333609212</v>
      </c>
      <c r="H46" s="24">
        <f>SQRT((G46*Constants!$B$26)^2+($F$6/$E$6)^2+(1-2*E46/$E$6)*(F46/E46)^2)/Constants!$B$25</f>
        <v>0.68275002018858455</v>
      </c>
      <c r="I46" s="81">
        <f>Constants!$B$15-G46</f>
        <v>1964.5483287027139</v>
      </c>
      <c r="J46" s="152">
        <f>Constants!$B$25*CF!E46/Concentrations!I44</f>
        <v>8.6407364388369531E-2</v>
      </c>
      <c r="K46" s="261">
        <f>J46*SQRT((F46/E46)^2+(1-(E46-E48)/(E46))*(Concentrations!J44/Concentrations!I44)^2)</f>
        <v>2.8495458634539479E-3</v>
      </c>
      <c r="L46" s="125"/>
      <c r="M46" s="24"/>
      <c r="N46" s="24">
        <f t="shared" ref="N46" si="60">AVERAGE(L45,L47)</f>
        <v>0.29674907704999998</v>
      </c>
      <c r="O46" s="305">
        <f t="shared" ref="O46" si="61">SQRT((M45^2+M47^2))/2</f>
        <v>3.3859218742088096E-3</v>
      </c>
      <c r="P46" s="152">
        <f t="shared" ref="P46" si="62">J46/N46</f>
        <v>0.29117989261281019</v>
      </c>
      <c r="Q46" s="152">
        <f t="shared" ref="Q46" si="63">P46*SQRT(SUMSQ(K46/J46,O46/N46))</f>
        <v>1.0161054483039188E-2</v>
      </c>
      <c r="R46" s="24"/>
      <c r="S46" s="24"/>
      <c r="T46" s="24">
        <f t="shared" ref="T46" si="64">J46*10000</f>
        <v>864.07364388369535</v>
      </c>
      <c r="U46" s="33"/>
      <c r="V46" s="33">
        <f t="shared" ref="V46" si="65">(T46)*(U46)</f>
        <v>0</v>
      </c>
      <c r="W46" s="24">
        <f t="shared" ref="W46" si="66">P46</f>
        <v>0.29117989261281019</v>
      </c>
      <c r="X46" s="24">
        <f t="shared" ref="X46" si="67">I46</f>
        <v>1964.5483287027139</v>
      </c>
      <c r="Y46" s="33"/>
      <c r="Z46" s="33"/>
      <c r="AA46" s="33"/>
      <c r="AB46" s="33"/>
      <c r="AE46" s="33"/>
      <c r="AF46" s="33"/>
      <c r="AH46" s="33"/>
      <c r="AI46" s="33"/>
      <c r="AJ46" s="23"/>
      <c r="AV46" s="33"/>
      <c r="BI46" s="33"/>
      <c r="BJ46" s="33"/>
      <c r="BK46" s="33"/>
      <c r="BL46" s="33"/>
      <c r="BM46" s="33"/>
      <c r="BN46" s="33"/>
      <c r="BO46" s="33"/>
      <c r="BP46" s="33"/>
      <c r="DA46" s="33"/>
      <c r="DB46" s="33"/>
      <c r="DC46" s="33"/>
      <c r="DD46" s="33"/>
      <c r="DE46" s="33"/>
      <c r="DF46" s="33"/>
      <c r="DG46" s="33"/>
    </row>
    <row r="47" spans="1:111" s="49" customFormat="1" ht="18" customHeight="1">
      <c r="A47" s="275">
        <f>Masses!C48</f>
        <v>20.5</v>
      </c>
      <c r="B47" s="253"/>
      <c r="C47" s="24">
        <f>Concentrations!K45</f>
        <v>0.77117598281893784</v>
      </c>
      <c r="D47" s="24">
        <f>Concentrations!L45</f>
        <v>3.5187527396611934E-2</v>
      </c>
      <c r="E47" s="24"/>
      <c r="F47" s="24"/>
      <c r="G47" s="24"/>
      <c r="H47" s="24"/>
      <c r="I47" s="24"/>
      <c r="J47" s="152"/>
      <c r="K47" s="261"/>
      <c r="L47" s="120">
        <f>Masses!E48</f>
        <v>0.32554032189999998</v>
      </c>
      <c r="M47" s="24">
        <f>Masses!H48</f>
        <v>4.8019496094421571E-3</v>
      </c>
      <c r="N47" s="24"/>
      <c r="O47" s="305"/>
      <c r="P47" s="152"/>
      <c r="Q47" s="152"/>
      <c r="R47" s="51"/>
      <c r="S47" s="24"/>
      <c r="T47" s="33"/>
      <c r="U47" s="33"/>
      <c r="V47" s="33"/>
      <c r="W47" s="33"/>
      <c r="X47" s="24"/>
      <c r="AA47" s="33"/>
      <c r="AB47" s="33"/>
      <c r="AD47" s="33"/>
      <c r="AE47" s="33"/>
      <c r="AF47" s="33"/>
      <c r="AH47" s="33"/>
      <c r="AI47" s="33"/>
      <c r="AJ47" s="33"/>
      <c r="BI47" s="33"/>
      <c r="BJ47" s="33"/>
      <c r="BK47" s="33"/>
      <c r="BL47" s="33"/>
      <c r="BM47" s="33"/>
      <c r="BN47" s="33"/>
      <c r="BO47" s="33"/>
      <c r="BP47" s="33"/>
      <c r="DA47" s="33"/>
      <c r="DB47" s="33"/>
      <c r="DC47" s="33"/>
      <c r="DD47" s="33"/>
      <c r="DE47" s="33"/>
      <c r="DF47" s="33"/>
      <c r="DG47" s="33"/>
    </row>
    <row r="48" spans="1:111" s="49" customFormat="1" ht="18" customHeight="1">
      <c r="A48" s="275"/>
      <c r="B48" s="253">
        <f>Masses!B49</f>
        <v>21</v>
      </c>
      <c r="C48" s="51"/>
      <c r="D48" s="51"/>
      <c r="E48" s="24">
        <f t="shared" ref="E48" si="68">E50+C49</f>
        <v>7.0439173935808581</v>
      </c>
      <c r="F48" s="24">
        <f t="shared" ref="F48" si="69">SQRT(SUMSQ(F50,D49))</f>
        <v>0.17022499701564089</v>
      </c>
      <c r="G48" s="24">
        <f>LN($E$6/E48)/Constants!$B$25</f>
        <v>60.377902565956987</v>
      </c>
      <c r="H48" s="24">
        <f>SQRT((G48*Constants!$B$26)^2+($F$6/$E$6)^2+(1-2*E48/$E$6)*(F48/E48)^2)/Constants!$B$25</f>
        <v>0.7472590078521798</v>
      </c>
      <c r="I48" s="81">
        <f>Constants!$B$15-G48</f>
        <v>1961.2163824703662</v>
      </c>
      <c r="J48" s="152">
        <f>Constants!$B$25*CF!E48/Concentrations!I46</f>
        <v>9.4478373884883685E-2</v>
      </c>
      <c r="K48" s="261">
        <f>J48*SQRT((F48/E48)^2+(1-(E48-E50)/(E48))*(Concentrations!J46/Concentrations!I46)^2)</f>
        <v>3.5972397183074828E-3</v>
      </c>
      <c r="L48" s="125"/>
      <c r="M48" s="24"/>
      <c r="N48" s="24">
        <f t="shared" ref="N48" si="70">AVERAGE(L47,L49)</f>
        <v>0.32597923714999999</v>
      </c>
      <c r="O48" s="305">
        <f t="shared" ref="O48" si="71">SQRT((M47^2+M49^2))/2</f>
        <v>3.3691361574568869E-3</v>
      </c>
      <c r="P48" s="152">
        <f t="shared" ref="P48" si="72">J48/N48</f>
        <v>0.28982942199293898</v>
      </c>
      <c r="Q48" s="152">
        <f t="shared" ref="Q48" si="73">P48*SQRT(SUMSQ(K48/J48,O48/N48))</f>
        <v>1.1434522371861431E-2</v>
      </c>
      <c r="R48" s="190"/>
      <c r="S48" s="24"/>
      <c r="T48" s="24">
        <f t="shared" ref="T48" si="74">J48*10000</f>
        <v>944.78373884883683</v>
      </c>
      <c r="U48" s="33"/>
      <c r="V48" s="33">
        <f t="shared" ref="V48" si="75">(T48)*(U48)</f>
        <v>0</v>
      </c>
      <c r="W48" s="24">
        <f t="shared" ref="W48" si="76">P48</f>
        <v>0.28982942199293898</v>
      </c>
      <c r="X48" s="24">
        <f t="shared" ref="X48" si="77">I48</f>
        <v>1961.2163824703662</v>
      </c>
      <c r="Z48" s="33"/>
      <c r="AA48" s="33"/>
      <c r="AB48" s="33"/>
      <c r="AE48" s="33"/>
      <c r="AF48" s="33"/>
      <c r="AH48" s="33"/>
      <c r="AI48" s="33"/>
      <c r="AJ48" s="33"/>
      <c r="BI48" s="33"/>
      <c r="BJ48" s="33"/>
      <c r="BK48" s="33"/>
      <c r="BL48" s="33"/>
      <c r="BM48" s="33"/>
      <c r="BN48" s="33"/>
      <c r="BO48" s="33"/>
      <c r="BP48" s="33"/>
      <c r="DA48" s="33"/>
      <c r="DB48" s="33"/>
      <c r="DC48" s="33"/>
      <c r="DD48" s="33"/>
      <c r="DE48" s="33"/>
      <c r="DF48" s="33"/>
      <c r="DG48" s="33"/>
    </row>
    <row r="49" spans="1:86">
      <c r="A49" s="275">
        <f>Masses!C50</f>
        <v>21.5</v>
      </c>
      <c r="B49" s="253"/>
      <c r="C49" s="24">
        <f>Concentrations!K47</f>
        <v>0.74439631268062545</v>
      </c>
      <c r="D49" s="24">
        <f>Concentrations!L47</f>
        <v>3.5085090844235001E-2</v>
      </c>
      <c r="E49" s="24"/>
      <c r="F49" s="24"/>
      <c r="G49" s="24"/>
      <c r="H49" s="24"/>
      <c r="I49" s="24"/>
      <c r="J49" s="152"/>
      <c r="K49" s="261"/>
      <c r="L49" s="120">
        <f>Masses!E50</f>
        <v>0.32641815239999999</v>
      </c>
      <c r="M49" s="24">
        <f>Masses!H50</f>
        <v>4.7271126217080699E-3</v>
      </c>
      <c r="O49" s="305"/>
      <c r="P49" s="152"/>
      <c r="Q49" s="152"/>
      <c r="X49" s="24"/>
      <c r="CD49" s="49"/>
      <c r="CE49" s="49"/>
      <c r="CF49" s="49"/>
      <c r="CG49" s="49"/>
      <c r="CH49" s="49"/>
    </row>
    <row r="50" spans="1:86">
      <c r="A50" s="275"/>
      <c r="B50" s="253">
        <f>Masses!B51</f>
        <v>22</v>
      </c>
      <c r="C50" s="51"/>
      <c r="D50" s="51"/>
      <c r="E50" s="24">
        <f t="shared" ref="E50" si="78">E52+C51</f>
        <v>6.2995210809002327</v>
      </c>
      <c r="F50" s="24">
        <f t="shared" ref="F50" si="79">SQRT(SUMSQ(F52,D51))</f>
        <v>0.16657006336501987</v>
      </c>
      <c r="G50" s="24">
        <f>LN($E$6/E50)/Constants!$B$25</f>
        <v>63.959952243477673</v>
      </c>
      <c r="H50" s="24">
        <f>SQRT((G50*Constants!$B$26)^2+($F$6/$E$6)^2+(1-2*E50/$E$6)*(F50/E50)^2)/Constants!$B$25</f>
        <v>0.82273871333314208</v>
      </c>
      <c r="I50" s="81">
        <f>Constants!$B$15-G50</f>
        <v>1957.6343327928455</v>
      </c>
      <c r="J50" s="152">
        <f>Constants!$B$25*CF!E50/Concentrations!I48</f>
        <v>8.1988843389475208E-2</v>
      </c>
      <c r="K50" s="261">
        <f>J50*SQRT((F50/E50)^2+(1-(E50-E52)/(E50))*(Concentrations!J48/Concentrations!I48)^2)</f>
        <v>3.1644450374033956E-3</v>
      </c>
      <c r="L50" s="125"/>
      <c r="N50" s="24">
        <f t="shared" ref="N50" si="80">AVERAGE(L49,L51)</f>
        <v>0.32965242265</v>
      </c>
      <c r="O50" s="305">
        <f t="shared" ref="O50" si="81">SQRT((M49^2+M51^2))/2</f>
        <v>3.3308297359234684E-3</v>
      </c>
      <c r="P50" s="152">
        <f t="shared" ref="P50" si="82">J50/N50</f>
        <v>0.24871300119800654</v>
      </c>
      <c r="Q50" s="152">
        <f t="shared" ref="Q50" si="83">P50*SQRT(SUMSQ(K50/J50,O50/N50))</f>
        <v>9.9228283497337193E-3</v>
      </c>
      <c r="T50" s="24">
        <f t="shared" ref="T50" si="84">J50*10000</f>
        <v>819.8884338947521</v>
      </c>
      <c r="V50" s="33">
        <f t="shared" ref="V50" si="85">(T50)*(U50)</f>
        <v>0</v>
      </c>
      <c r="W50" s="24">
        <f t="shared" ref="W50" si="86">P50</f>
        <v>0.24871300119800654</v>
      </c>
      <c r="X50" s="24">
        <f t="shared" ref="X50" si="87">I50</f>
        <v>1957.6343327928455</v>
      </c>
      <c r="AD50" s="49"/>
      <c r="CD50" s="49"/>
      <c r="CE50" s="49"/>
      <c r="CF50" s="49"/>
      <c r="CG50" s="49"/>
      <c r="CH50" s="49"/>
    </row>
    <row r="51" spans="1:86">
      <c r="A51" s="275">
        <f>Masses!C52</f>
        <v>22.5</v>
      </c>
      <c r="B51" s="253"/>
      <c r="C51" s="24">
        <f>Concentrations!K49</f>
        <v>0.83586876820568845</v>
      </c>
      <c r="D51" s="24">
        <f>Concentrations!L49</f>
        <v>3.6031652845744284E-2</v>
      </c>
      <c r="E51" s="24"/>
      <c r="F51" s="24"/>
      <c r="G51" s="24"/>
      <c r="H51" s="24"/>
      <c r="I51" s="24"/>
      <c r="J51" s="152"/>
      <c r="K51" s="261"/>
      <c r="L51" s="120">
        <f>Masses!E52</f>
        <v>0.3328866929</v>
      </c>
      <c r="M51" s="24">
        <f>Masses!H52</f>
        <v>4.6938377880510812E-3</v>
      </c>
      <c r="O51" s="305"/>
      <c r="P51" s="152"/>
      <c r="Q51" s="152"/>
      <c r="X51" s="24"/>
      <c r="CD51" s="49"/>
      <c r="CE51" s="49"/>
      <c r="CF51" s="49"/>
      <c r="CG51" s="49"/>
      <c r="CH51" s="49"/>
    </row>
    <row r="52" spans="1:86">
      <c r="A52" s="275"/>
      <c r="B52" s="253">
        <f>Masses!B53</f>
        <v>23</v>
      </c>
      <c r="C52" s="51"/>
      <c r="D52" s="51"/>
      <c r="E52" s="24">
        <f t="shared" ref="E52" si="88">E54+C53</f>
        <v>5.4636523126945447</v>
      </c>
      <c r="F52" s="24">
        <f t="shared" ref="F52" si="89">SQRT(SUMSQ(F54,D53))</f>
        <v>0.16262627709761576</v>
      </c>
      <c r="G52" s="24">
        <f>LN($E$6/E52)/Constants!$B$25</f>
        <v>68.525471255026972</v>
      </c>
      <c r="H52" s="24">
        <f>SQRT((G52*Constants!$B$26)^2+($F$6/$E$6)^2+(1-2*E52/$E$6)*(F52/E52)^2)/Constants!$B$25</f>
        <v>0.93127365314570087</v>
      </c>
      <c r="I52" s="81">
        <f>Constants!$B$15-G52</f>
        <v>1953.0688137812961</v>
      </c>
      <c r="J52" s="152">
        <f>Constants!$B$25*CF!E52/Concentrations!I50</f>
        <v>6.2815144843809692E-2</v>
      </c>
      <c r="K52" s="261">
        <f>J52*SQRT((F52/E52)^2+(1-(E52-E54)/(E52))*(Concentrations!J50/Concentrations!I50)^2)</f>
        <v>2.4096888064926484E-3</v>
      </c>
      <c r="L52" s="125"/>
      <c r="N52" s="24">
        <f t="shared" ref="N52" si="90">AVERAGE(L51,L53)</f>
        <v>0.33197988595</v>
      </c>
      <c r="O52" s="305">
        <f t="shared" ref="O52" si="91">SQRT((M51^2+M53^2))/2</f>
        <v>3.2702127001003321E-3</v>
      </c>
      <c r="P52" s="152">
        <f t="shared" ref="P52" si="92">J52/N52</f>
        <v>0.18921370692099815</v>
      </c>
      <c r="Q52" s="152">
        <f t="shared" ref="Q52" si="93">P52*SQRT(SUMSQ(K52/J52,O52/N52))</f>
        <v>7.4940251418808747E-3</v>
      </c>
      <c r="T52" s="24">
        <f t="shared" ref="T52" si="94">J52*10000</f>
        <v>628.15144843809696</v>
      </c>
      <c r="V52" s="33">
        <f t="shared" ref="V52" si="95">(T52)*(U52)</f>
        <v>0</v>
      </c>
      <c r="W52" s="24">
        <f t="shared" ref="W52" si="96">P52</f>
        <v>0.18921370692099815</v>
      </c>
      <c r="X52" s="24">
        <f t="shared" ref="X52" si="97">I52</f>
        <v>1953.0688137812961</v>
      </c>
      <c r="AD52" s="49"/>
      <c r="CD52" s="49"/>
      <c r="CE52" s="49"/>
      <c r="CF52" s="49"/>
      <c r="CG52" s="49"/>
      <c r="CH52" s="49"/>
    </row>
    <row r="53" spans="1:86">
      <c r="A53" s="275">
        <f>Masses!C54</f>
        <v>23.5</v>
      </c>
      <c r="B53" s="253"/>
      <c r="C53" s="24">
        <f>Concentrations!K51</f>
        <v>0.96448757676250263</v>
      </c>
      <c r="D53" s="24">
        <f>Concentrations!L51</f>
        <v>3.637068713377771E-2</v>
      </c>
      <c r="E53" s="24"/>
      <c r="F53" s="24"/>
      <c r="G53" s="24"/>
      <c r="H53" s="24"/>
      <c r="I53" s="24"/>
      <c r="J53" s="152"/>
      <c r="K53" s="261"/>
      <c r="L53" s="120">
        <f>Masses!E54</f>
        <v>0.33107307899999999</v>
      </c>
      <c r="M53" s="24">
        <f>Masses!H54</f>
        <v>4.5546735596586662E-3</v>
      </c>
      <c r="O53" s="305"/>
      <c r="P53" s="152"/>
      <c r="Q53" s="152"/>
      <c r="X53" s="24"/>
      <c r="CD53" s="49"/>
      <c r="CE53" s="49"/>
      <c r="CF53" s="49"/>
      <c r="CG53" s="49"/>
      <c r="CH53" s="49"/>
    </row>
    <row r="54" spans="1:86">
      <c r="A54" s="275"/>
      <c r="B54" s="253">
        <f>Masses!B55</f>
        <v>24</v>
      </c>
      <c r="C54" s="51"/>
      <c r="D54" s="51"/>
      <c r="E54" s="24">
        <f t="shared" ref="E54" si="98">E56+C55</f>
        <v>4.4991647359320419</v>
      </c>
      <c r="F54" s="24">
        <f t="shared" ref="F54" si="99">SQRT(SUMSQ(F56,D55))</f>
        <v>0.15850703176845929</v>
      </c>
      <c r="G54" s="24">
        <f>LN($E$6/E54)/Constants!$B$25</f>
        <v>74.754505915386119</v>
      </c>
      <c r="H54" s="24">
        <f>SQRT((G54*Constants!$B$26)^2+($F$6/$E$6)^2+(1-2*E54/$E$6)*(F54/E54)^2)/Constants!$B$25</f>
        <v>1.1070599528402958</v>
      </c>
      <c r="I54" s="81">
        <f>Constants!$B$15-G54</f>
        <v>1946.839779120937</v>
      </c>
      <c r="J54" s="152">
        <f>Constants!$B$25*CF!E54/Concentrations!I52</f>
        <v>5.5079902332178507E-2</v>
      </c>
      <c r="K54" s="261">
        <f>J54*SQRT((F54/E54)^2+(1-(E54-E56)/(E54))*(Concentrations!J52/Concentrations!I52)^2)</f>
        <v>2.4195031337040794E-3</v>
      </c>
      <c r="L54" s="125"/>
      <c r="N54" s="24">
        <f t="shared" ref="N54" si="100">AVERAGE(L53,L55)</f>
        <v>0.31645927914999999</v>
      </c>
      <c r="O54" s="305">
        <f t="shared" ref="O54" si="101">SQRT((M53^2+M55^2))/2</f>
        <v>3.2360677013008069E-3</v>
      </c>
      <c r="P54" s="152">
        <f t="shared" ref="P54" si="102">J54/N54</f>
        <v>0.17405052074984639</v>
      </c>
      <c r="Q54" s="152">
        <f t="shared" ref="Q54" si="103">P54*SQRT(SUMSQ(K54/J54,O54/N54))</f>
        <v>7.8499731029241428E-3</v>
      </c>
      <c r="T54" s="24">
        <f t="shared" ref="T54" si="104">J54*10000</f>
        <v>550.79902332178506</v>
      </c>
      <c r="V54" s="33">
        <f t="shared" ref="V54" si="105">(T54)*(U54)</f>
        <v>0</v>
      </c>
      <c r="W54" s="24">
        <f t="shared" ref="W54" si="106">P54</f>
        <v>0.17405052074984639</v>
      </c>
      <c r="X54" s="24">
        <f t="shared" ref="X54" si="107">I54</f>
        <v>1946.839779120937</v>
      </c>
      <c r="AD54" s="49"/>
      <c r="CD54" s="49"/>
      <c r="CE54" s="49"/>
      <c r="CF54" s="49"/>
      <c r="CG54" s="49"/>
      <c r="CH54" s="49"/>
    </row>
    <row r="55" spans="1:86">
      <c r="A55" s="275">
        <f>Masses!C56</f>
        <v>24.5</v>
      </c>
      <c r="B55" s="253"/>
      <c r="C55" s="24">
        <f>Concentrations!K53</f>
        <v>0.65824470621275311</v>
      </c>
      <c r="D55" s="24">
        <f>Concentrations!L53</f>
        <v>3.2462036080320035E-2</v>
      </c>
      <c r="E55" s="24"/>
      <c r="F55" s="24"/>
      <c r="G55" s="24"/>
      <c r="H55" s="24"/>
      <c r="I55" s="24"/>
      <c r="J55" s="152"/>
      <c r="K55" s="261"/>
      <c r="L55" s="120">
        <f>Masses!E56</f>
        <v>0.3018454793</v>
      </c>
      <c r="M55" s="24">
        <f>Masses!H56</f>
        <v>4.5982045881577966E-3</v>
      </c>
      <c r="O55" s="305"/>
      <c r="P55" s="152"/>
      <c r="Q55" s="152"/>
      <c r="X55" s="24"/>
      <c r="CD55" s="49"/>
      <c r="CE55" s="49"/>
      <c r="CF55" s="49"/>
      <c r="CG55" s="49"/>
      <c r="CH55" s="49"/>
    </row>
    <row r="56" spans="1:86">
      <c r="A56" s="275"/>
      <c r="B56" s="253">
        <f>Masses!B57</f>
        <v>25</v>
      </c>
      <c r="C56" s="51"/>
      <c r="D56" s="51"/>
      <c r="E56" s="24">
        <f t="shared" ref="E56" si="108">E58+C57</f>
        <v>3.8409200297192885</v>
      </c>
      <c r="F56" s="24">
        <f t="shared" ref="F56" si="109">SQRT(SUMSQ(F58,D57))</f>
        <v>0.15514733427799321</v>
      </c>
      <c r="G56" s="24">
        <f>LN($E$6/E56)/Constants!$B$25</f>
        <v>79.827508966335927</v>
      </c>
      <c r="H56" s="24">
        <f>SQRT((G56*Constants!$B$26)^2+($F$6/$E$6)^2+(1-2*E56/$E$6)*(F56/E56)^2)/Constants!$B$25</f>
        <v>1.2726673255556695</v>
      </c>
      <c r="I56" s="81">
        <f>Constants!$B$15-G56</f>
        <v>1941.7667760699871</v>
      </c>
      <c r="J56" s="152">
        <f>Constants!$B$25*CF!E56/Concentrations!I54</f>
        <v>5.5443807629744171E-2</v>
      </c>
      <c r="K56" s="261">
        <f>J56*SQRT((F56/E56)^2+(1-(E56-E58)/(E56))*(Concentrations!J54/Concentrations!I54)^2)</f>
        <v>2.8036650961114707E-3</v>
      </c>
      <c r="L56" s="125"/>
      <c r="N56" s="24">
        <f t="shared" ref="N56" si="110">AVERAGE(L55,L57)</f>
        <v>0.30759188800000004</v>
      </c>
      <c r="O56" s="305">
        <f t="shared" ref="O56" si="111">SQRT((M55^2+M57^2))/2</f>
        <v>3.2962629494441794E-3</v>
      </c>
      <c r="P56" s="152">
        <f t="shared" ref="P56" si="112">J56/N56</f>
        <v>0.18025120230005598</v>
      </c>
      <c r="Q56" s="152">
        <f t="shared" ref="Q56" si="113">P56*SQRT(SUMSQ(K56/J56,O56/N56))</f>
        <v>9.3173154897027034E-3</v>
      </c>
      <c r="T56" s="24">
        <f t="shared" ref="T56" si="114">J56*10000</f>
        <v>554.43807629744174</v>
      </c>
      <c r="V56" s="33">
        <f t="shared" ref="V56" si="115">(T56)*(U56)</f>
        <v>0</v>
      </c>
      <c r="W56" s="24">
        <f t="shared" ref="W56" si="116">P56</f>
        <v>0.18025120230005598</v>
      </c>
      <c r="X56" s="24">
        <f t="shared" ref="X56" si="117">I56</f>
        <v>1941.7667760699871</v>
      </c>
      <c r="AD56" s="49"/>
      <c r="CD56" s="49"/>
      <c r="CE56" s="49"/>
      <c r="CF56" s="49"/>
      <c r="CG56" s="49"/>
      <c r="CH56" s="49"/>
    </row>
    <row r="57" spans="1:86">
      <c r="A57" s="275">
        <f>Masses!C58</f>
        <v>25.5</v>
      </c>
      <c r="B57" s="253"/>
      <c r="C57" s="24">
        <f>Concentrations!K55</f>
        <v>0.67035904071311136</v>
      </c>
      <c r="D57" s="24">
        <f>Concentrations!L55</f>
        <v>3.3605878178550201E-2</v>
      </c>
      <c r="E57" s="24"/>
      <c r="F57" s="24"/>
      <c r="G57" s="24"/>
      <c r="H57" s="24"/>
      <c r="I57" s="24"/>
      <c r="J57" s="152"/>
      <c r="K57" s="261"/>
      <c r="L57" s="120">
        <f>Masses!E58</f>
        <v>0.31333829670000002</v>
      </c>
      <c r="M57" s="24">
        <f>Masses!H58</f>
        <v>4.7241837700240184E-3</v>
      </c>
      <c r="O57" s="305"/>
      <c r="P57" s="152"/>
      <c r="Q57" s="152"/>
      <c r="X57" s="24"/>
      <c r="CD57" s="49"/>
      <c r="CE57" s="49"/>
      <c r="CF57" s="49"/>
      <c r="CG57" s="49"/>
      <c r="CH57" s="49"/>
    </row>
    <row r="58" spans="1:86">
      <c r="A58" s="275"/>
      <c r="B58" s="253">
        <f>Masses!B59</f>
        <v>26</v>
      </c>
      <c r="C58" s="51"/>
      <c r="D58" s="51"/>
      <c r="E58" s="24">
        <f t="shared" ref="E58" si="118">E60+C59</f>
        <v>3.170560989006177</v>
      </c>
      <c r="F58" s="24">
        <f t="shared" ref="F58" si="119">SQRT(SUMSQ(F60,D59))</f>
        <v>0.15146399006171668</v>
      </c>
      <c r="G58" s="24">
        <f>LN($E$6/E58)/Constants!$B$25</f>
        <v>85.978856686137547</v>
      </c>
      <c r="H58" s="24">
        <f>SQRT((G58*Constants!$B$26)^2+($F$6/$E$6)^2+(1-2*E58/$E$6)*(F58/E58)^2)/Constants!$B$25</f>
        <v>1.5084645785189454</v>
      </c>
      <c r="I58" s="81">
        <f>Constants!$B$15-G58</f>
        <v>1935.6154283501855</v>
      </c>
      <c r="J58" s="152">
        <f>Constants!$B$25*CF!E58/Concentrations!I56</f>
        <v>4.6981830654250926E-2</v>
      </c>
      <c r="K58" s="261">
        <f>J58*SQRT((F58/E58)^2+(1-(E58-E60)/(E58))*(Concentrations!J56/Concentrations!I56)^2)</f>
        <v>2.6708633874606208E-3</v>
      </c>
      <c r="L58" s="125"/>
      <c r="N58" s="24">
        <f t="shared" ref="N58" si="120">AVERAGE(L57,L59)</f>
        <v>0.30700976950000003</v>
      </c>
      <c r="O58" s="305">
        <f t="shared" ref="O58" si="121">SQRT((M57^2+M59^2))/2</f>
        <v>3.4101643645456448E-3</v>
      </c>
      <c r="P58" s="152">
        <f t="shared" ref="P58" si="122">J58/N58</f>
        <v>0.15303040919761651</v>
      </c>
      <c r="Q58" s="152">
        <f t="shared" ref="Q58" si="123">P58*SQRT(SUMSQ(K58/J58,O58/N58))</f>
        <v>8.8641112555119216E-3</v>
      </c>
      <c r="R58" s="43"/>
      <c r="T58" s="24">
        <f t="shared" ref="T58" si="124">J58*10000</f>
        <v>469.81830654250928</v>
      </c>
      <c r="V58" s="33">
        <f t="shared" ref="V58" si="125">(T58)*(U58)</f>
        <v>0</v>
      </c>
      <c r="W58" s="24">
        <f t="shared" ref="W58" si="126">P58</f>
        <v>0.15303040919761651</v>
      </c>
      <c r="X58" s="24">
        <f t="shared" ref="X58" si="127">I58</f>
        <v>1935.6154283501855</v>
      </c>
      <c r="AD58" s="49"/>
      <c r="CD58" s="49"/>
      <c r="CE58" s="49"/>
      <c r="CF58" s="49"/>
      <c r="CG58" s="49"/>
      <c r="CH58" s="49"/>
    </row>
    <row r="59" spans="1:86">
      <c r="A59" s="275">
        <f>Masses!C60</f>
        <v>26.5</v>
      </c>
      <c r="B59" s="253"/>
      <c r="C59" s="24">
        <f>Concentrations!K57</f>
        <v>0.62212155701975558</v>
      </c>
      <c r="D59" s="24">
        <f>Concentrations!L57</f>
        <v>3.2395854536485046E-2</v>
      </c>
      <c r="E59" s="24"/>
      <c r="F59" s="24"/>
      <c r="G59" s="24"/>
      <c r="H59" s="24"/>
      <c r="I59" s="24"/>
      <c r="J59" s="152"/>
      <c r="K59" s="261"/>
      <c r="L59" s="120">
        <f>Masses!E60</f>
        <v>0.30068124229999998</v>
      </c>
      <c r="M59" s="24">
        <f>Masses!H60</f>
        <v>4.9192450314971773E-3</v>
      </c>
      <c r="O59" s="305"/>
      <c r="P59" s="152"/>
      <c r="Q59" s="152"/>
      <c r="X59" s="24"/>
      <c r="CD59" s="49"/>
      <c r="CE59" s="49"/>
      <c r="CF59" s="49"/>
      <c r="CG59" s="49"/>
      <c r="CH59" s="49"/>
    </row>
    <row r="60" spans="1:86">
      <c r="A60" s="275"/>
      <c r="B60" s="253">
        <f>Masses!B61</f>
        <v>27</v>
      </c>
      <c r="C60" s="51"/>
      <c r="D60" s="51"/>
      <c r="E60" s="24">
        <f t="shared" ref="E60" si="128">E62+C61</f>
        <v>2.5484394319864214</v>
      </c>
      <c r="F60" s="24">
        <f t="shared" ref="F60" si="129">SQRT(SUMSQ(F62,D61))</f>
        <v>0.14795894327233725</v>
      </c>
      <c r="G60" s="24">
        <f>LN($E$6/E60)/Constants!$B$25</f>
        <v>92.984064613189659</v>
      </c>
      <c r="H60" s="24">
        <f>SQRT((G60*Constants!$B$26)^2+($F$6/$E$6)^2+(1-2*E60/$E$6)*(F60/E60)^2)/Constants!$B$25</f>
        <v>1.8361709848503238</v>
      </c>
      <c r="I60" s="81">
        <f>Constants!$B$15-G60</f>
        <v>1928.6102204231333</v>
      </c>
      <c r="J60" s="152">
        <f>Constants!$B$25*CF!E60/Concentrations!I58</f>
        <v>3.9304467168636351E-2</v>
      </c>
      <c r="K60" s="261">
        <f>J60*SQRT((F60/E60)^2+(1-(E60-E62)/(E60))*(Concentrations!J58/Concentrations!I58)^2)</f>
        <v>2.5897970685396922E-3</v>
      </c>
      <c r="L60" s="125"/>
      <c r="N60" s="24">
        <f t="shared" ref="N60" si="130">AVERAGE(L59,L61)</f>
        <v>0.30620320649999999</v>
      </c>
      <c r="O60" s="305">
        <f t="shared" ref="O60" si="131">SQRT((M59^2+M61^2))/2</f>
        <v>3.5778425225159497E-3</v>
      </c>
      <c r="P60" s="152">
        <f t="shared" ref="P60" si="132">J60/N60</f>
        <v>0.1283607301762085</v>
      </c>
      <c r="Q60" s="152">
        <f t="shared" ref="Q60" si="133">P60*SQRT(SUMSQ(K60/J60,O60/N60))</f>
        <v>8.5897277652927408E-3</v>
      </c>
      <c r="T60" s="24">
        <f t="shared" ref="T60" si="134">J60*10000</f>
        <v>393.04467168636353</v>
      </c>
      <c r="V60" s="33">
        <f t="shared" ref="V60" si="135">(T60)*(U60)</f>
        <v>0</v>
      </c>
      <c r="W60" s="24">
        <f t="shared" ref="W60" si="136">P60</f>
        <v>0.1283607301762085</v>
      </c>
      <c r="X60" s="24">
        <f t="shared" ref="X60" si="137">I60</f>
        <v>1928.6102204231333</v>
      </c>
      <c r="AD60" s="49"/>
      <c r="CD60" s="49"/>
      <c r="CE60" s="49"/>
      <c r="CF60" s="49"/>
      <c r="CG60" s="49"/>
      <c r="CH60" s="49"/>
    </row>
    <row r="61" spans="1:86">
      <c r="A61" s="275">
        <f>Masses!C62</f>
        <v>27.5</v>
      </c>
      <c r="B61" s="253"/>
      <c r="C61" s="24">
        <f>Concentrations!K59</f>
        <v>0.61546257314130826</v>
      </c>
      <c r="D61" s="24">
        <f>Concentrations!L59</f>
        <v>3.3495213202015477E-2</v>
      </c>
      <c r="E61" s="24"/>
      <c r="F61" s="24"/>
      <c r="G61" s="24"/>
      <c r="H61" s="24"/>
      <c r="I61" s="24"/>
      <c r="J61" s="152"/>
      <c r="K61" s="261"/>
      <c r="L61" s="120">
        <f>Masses!E62</f>
        <v>0.3117251707</v>
      </c>
      <c r="M61" s="24">
        <f>Masses!H62</f>
        <v>5.1966197459294167E-3</v>
      </c>
      <c r="O61" s="305"/>
      <c r="P61" s="152"/>
      <c r="Q61" s="152"/>
      <c r="X61" s="24"/>
      <c r="CD61" s="49"/>
      <c r="CE61" s="49"/>
      <c r="CF61" s="49"/>
      <c r="CG61" s="49"/>
      <c r="CH61" s="49"/>
    </row>
    <row r="62" spans="1:86">
      <c r="A62" s="275"/>
      <c r="B62" s="253">
        <f>Masses!B63</f>
        <v>28</v>
      </c>
      <c r="C62" s="51"/>
      <c r="D62" s="51"/>
      <c r="E62" s="24">
        <f t="shared" ref="E62" si="138">E64+C63</f>
        <v>1.9329768588451133</v>
      </c>
      <c r="F62" s="24">
        <f t="shared" ref="F62" si="139">SQRT(SUMSQ(F64,D63))</f>
        <v>0.14411772821835014</v>
      </c>
      <c r="G62" s="24">
        <f>LN($E$6/E62)/Constants!$B$25</f>
        <v>101.84915963310381</v>
      </c>
      <c r="H62" s="24">
        <f>SQRT((G62*Constants!$B$26)^2+($F$6/$E$6)^2+(1-2*E62/$E$6)*(F62/E62)^2)/Constants!$B$25</f>
        <v>2.3614752341674392</v>
      </c>
      <c r="I62" s="81">
        <f>Constants!$B$15-G62</f>
        <v>1919.7451254032192</v>
      </c>
      <c r="J62" s="152">
        <f>Constants!$B$25*CF!E62/Concentrations!I60</f>
        <v>3.7151849630752874E-2</v>
      </c>
      <c r="K62" s="261">
        <f>J62*SQRT((F62/E62)^2+(1-(E62-E64)/(E62))*(Concentrations!J60/Concentrations!I60)^2)</f>
        <v>3.141473662355931E-3</v>
      </c>
      <c r="L62" s="125"/>
      <c r="N62" s="24">
        <f t="shared" ref="N62" si="140">AVERAGE(L61,L63)</f>
        <v>0.30763446735</v>
      </c>
      <c r="O62" s="305">
        <f t="shared" ref="O62" si="141">SQRT((M61^2+M63^2))/2</f>
        <v>3.6635340877728332E-3</v>
      </c>
      <c r="P62" s="152">
        <f t="shared" ref="P62" si="142">J62/N62</f>
        <v>0.1207662130670316</v>
      </c>
      <c r="Q62" s="152">
        <f t="shared" ref="Q62" si="143">P62*SQRT(SUMSQ(K62/J62,O62/N62))</f>
        <v>1.031248458565074E-2</v>
      </c>
      <c r="T62" s="24">
        <f t="shared" ref="T62" si="144">J62*10000</f>
        <v>371.51849630752872</v>
      </c>
      <c r="V62" s="33">
        <f t="shared" ref="V62" si="145">(T62)*(U62)</f>
        <v>0</v>
      </c>
      <c r="W62" s="24">
        <f t="shared" ref="W62" si="146">P62</f>
        <v>0.1207662130670316</v>
      </c>
      <c r="X62" s="24">
        <f t="shared" ref="X62" si="147">I62</f>
        <v>1919.7451254032192</v>
      </c>
      <c r="AD62" s="49"/>
      <c r="CD62" s="49"/>
      <c r="CE62" s="49"/>
      <c r="CF62" s="49"/>
      <c r="CG62" s="49"/>
      <c r="CH62" s="49"/>
    </row>
    <row r="63" spans="1:86" ht="13.5" thickBot="1">
      <c r="A63" s="275">
        <f>Masses!C64</f>
        <v>28.5</v>
      </c>
      <c r="B63" s="253"/>
      <c r="C63" s="24">
        <f>Concentrations!K61</f>
        <v>0.38557106239846728</v>
      </c>
      <c r="D63" s="24">
        <f>Concentrations!L61</f>
        <v>3.1734498109050199E-2</v>
      </c>
      <c r="E63" s="24"/>
      <c r="F63" s="24"/>
      <c r="G63" s="24"/>
      <c r="H63" s="24"/>
      <c r="I63" s="24"/>
      <c r="J63" s="152"/>
      <c r="K63" s="261"/>
      <c r="L63" s="120">
        <f>Masses!E64</f>
        <v>0.30354376399999999</v>
      </c>
      <c r="M63" s="24">
        <f>Masses!H64</f>
        <v>5.1653723259132622E-3</v>
      </c>
      <c r="O63" s="305"/>
      <c r="P63" s="152"/>
      <c r="Q63" s="152"/>
      <c r="X63" s="24"/>
      <c r="Y63" s="19"/>
      <c r="Z63" s="19"/>
      <c r="AA63" s="19"/>
      <c r="AB63" s="19"/>
      <c r="AC63" s="45"/>
      <c r="AD63" s="45"/>
      <c r="AE63" s="19"/>
      <c r="AF63" s="24"/>
      <c r="AG63" s="24"/>
      <c r="AH63" s="19"/>
      <c r="AI63" s="24"/>
      <c r="AJ63" s="24"/>
      <c r="AK63" s="24"/>
      <c r="AL63" s="24"/>
      <c r="AN63" s="24"/>
      <c r="CD63" s="49"/>
      <c r="CE63" s="49"/>
      <c r="CF63" s="49"/>
      <c r="CG63" s="49"/>
      <c r="CH63" s="49"/>
    </row>
    <row r="64" spans="1:86" ht="16" thickTop="1">
      <c r="A64" s="275"/>
      <c r="B64" s="253">
        <f>Masses!B65</f>
        <v>29</v>
      </c>
      <c r="C64" s="51"/>
      <c r="D64" s="51"/>
      <c r="E64" s="24">
        <f t="shared" ref="E64" si="148">E66+C65</f>
        <v>1.5474057964466459</v>
      </c>
      <c r="F64" s="24">
        <f t="shared" ref="F64" si="149">SQRT(SUMSQ(F66,D65))</f>
        <v>0.14058037279999269</v>
      </c>
      <c r="G64" s="24">
        <f>LN($E$6/E64)/Constants!$B$25</f>
        <v>108.98438459604988</v>
      </c>
      <c r="H64" s="24">
        <f>SQRT((G64*Constants!$B$26)^2+($F$6/$E$6)^2+(1-2*E64/$E$6)*(F64/E64)^2)/Constants!$B$25</f>
        <v>2.8813240793754851</v>
      </c>
      <c r="I64" s="81">
        <f>Constants!$B$15-G64</f>
        <v>1912.6099004402731</v>
      </c>
      <c r="J64" s="152">
        <f>Constants!$B$25*CF!E64/Concentrations!I62</f>
        <v>4.0200029733103541E-2</v>
      </c>
      <c r="K64" s="261">
        <f>J64*SQRT((F64/E64)^2+(1-(E64-E66)/(E64))*(Concentrations!J62/Concentrations!I62)^2)</f>
        <v>4.2196475228406293E-3</v>
      </c>
      <c r="L64" s="125"/>
      <c r="N64" s="24">
        <f t="shared" ref="N64" si="150">AVERAGE(L63,L65)</f>
        <v>0.3152381091</v>
      </c>
      <c r="O64" s="305">
        <f t="shared" ref="O64" si="151">SQRT((M63^2+M65^2))/2</f>
        <v>3.5880000708510538E-3</v>
      </c>
      <c r="P64" s="152">
        <f t="shared" ref="P64" si="152">J64/N64</f>
        <v>0.12752274732225116</v>
      </c>
      <c r="Q64" s="152">
        <f t="shared" ref="Q64" si="153">P64*SQRT(SUMSQ(K64/J64,O64/N64))</f>
        <v>1.3464051124115278E-2</v>
      </c>
      <c r="T64" s="24">
        <f t="shared" ref="T64" si="154">J64*10000</f>
        <v>402.00029733103543</v>
      </c>
      <c r="V64" s="33">
        <f t="shared" ref="V64" si="155">(T64)*(U64)</f>
        <v>0</v>
      </c>
      <c r="W64" s="24">
        <f t="shared" ref="W64" si="156">P64</f>
        <v>0.12752274732225116</v>
      </c>
      <c r="X64" s="24">
        <f t="shared" ref="X64" si="157">I64</f>
        <v>1912.6099004402731</v>
      </c>
      <c r="Y64" s="19"/>
      <c r="Z64" s="180"/>
      <c r="AA64" s="181"/>
      <c r="AB64" s="181"/>
      <c r="AC64" s="182"/>
      <c r="AD64" s="182"/>
      <c r="AE64" s="181"/>
      <c r="AF64" s="183"/>
      <c r="AG64" s="183"/>
      <c r="AH64" s="181"/>
      <c r="AI64" s="183"/>
      <c r="AJ64" s="183"/>
      <c r="AK64" s="183"/>
      <c r="AL64" s="183"/>
      <c r="AM64" s="202"/>
      <c r="AN64" s="107"/>
      <c r="CD64" s="49"/>
      <c r="CE64" s="49"/>
      <c r="CF64" s="49"/>
      <c r="CG64" s="49"/>
      <c r="CH64" s="49"/>
    </row>
    <row r="65" spans="1:86" ht="18">
      <c r="A65" s="275">
        <f>Masses!C66</f>
        <v>29.5</v>
      </c>
      <c r="B65" s="253"/>
      <c r="C65" s="24">
        <f>Concentrations!K63</f>
        <v>0.36950700278550569</v>
      </c>
      <c r="D65" s="24">
        <f>Concentrations!L63</f>
        <v>3.3911974923745765E-2</v>
      </c>
      <c r="E65" s="24"/>
      <c r="F65" s="24"/>
      <c r="G65" s="24"/>
      <c r="H65" s="24"/>
      <c r="I65" s="24"/>
      <c r="J65" s="152"/>
      <c r="K65" s="261"/>
      <c r="L65" s="120">
        <f>Masses!E66</f>
        <v>0.3269324542</v>
      </c>
      <c r="M65" s="24">
        <f>Masses!H66</f>
        <v>4.9813559166554328E-3</v>
      </c>
      <c r="O65" s="305"/>
      <c r="P65" s="152"/>
      <c r="Q65" s="152"/>
      <c r="X65" s="24"/>
      <c r="Y65" s="19"/>
      <c r="Z65" s="188"/>
      <c r="AA65" s="189"/>
      <c r="AB65" s="189"/>
      <c r="AC65" s="149"/>
      <c r="AD65" s="149"/>
      <c r="AE65" s="189"/>
      <c r="AF65" s="190"/>
      <c r="AG65" s="190"/>
      <c r="AH65" s="189"/>
      <c r="AI65" s="190"/>
      <c r="AJ65" s="190"/>
      <c r="AK65" s="190"/>
      <c r="AL65" s="190"/>
      <c r="AM65" s="24"/>
      <c r="AN65" s="108"/>
      <c r="AO65" s="117"/>
      <c r="CD65" s="49"/>
      <c r="CE65" s="49"/>
      <c r="CF65" s="49"/>
      <c r="CG65" s="49"/>
      <c r="CH65" s="49"/>
    </row>
    <row r="66" spans="1:86" ht="18">
      <c r="A66" s="275"/>
      <c r="B66" s="253">
        <f>Masses!B67</f>
        <v>30</v>
      </c>
      <c r="C66" s="51"/>
      <c r="D66" s="51"/>
      <c r="E66" s="24">
        <f t="shared" ref="E66" si="158">E68+C67</f>
        <v>1.1778987936611403</v>
      </c>
      <c r="F66" s="24">
        <f t="shared" ref="F66" si="159">SQRT(SUMSQ(F68,D67))</f>
        <v>0.13642880624470832</v>
      </c>
      <c r="G66" s="24">
        <f>LN($E$6/E66)/Constants!$B$25</f>
        <v>117.73491280059979</v>
      </c>
      <c r="H66" s="24">
        <f>SQRT((G66*Constants!$B$26)^2+($F$6/$E$6)^2+(1-2*E66/$E$6)*(F66/E66)^2)/Constants!$B$25</f>
        <v>3.6788825576628397</v>
      </c>
      <c r="I66" s="81">
        <f>Constants!$B$15-G66</f>
        <v>1903.8593722357232</v>
      </c>
      <c r="J66" s="152">
        <f>Constants!$B$25*CF!E66/Concentrations!I64</f>
        <v>3.3888064195329019E-2</v>
      </c>
      <c r="K66" s="261">
        <f>J66*SQRT((F66/E66)^2+(1-(E66-E68)/(E66))*(Concentrations!J64/Concentrations!I64)^2)</f>
        <v>4.3620107777435912E-3</v>
      </c>
      <c r="L66" s="125"/>
      <c r="N66" s="24">
        <f t="shared" ref="N66" si="160">AVERAGE(L65,L67)</f>
        <v>0.3293042108</v>
      </c>
      <c r="O66" s="305">
        <f t="shared" ref="O66" si="161">SQRT((M65^2+M67^2))/2</f>
        <v>3.569540337928175E-3</v>
      </c>
      <c r="P66" s="152">
        <f t="shared" ref="P66" si="162">J66/N66</f>
        <v>0.10290808038258167</v>
      </c>
      <c r="Q66" s="152">
        <f t="shared" ref="Q66" si="163">P66*SQRT(SUMSQ(K66/J66,O66/N66))</f>
        <v>1.3293029165772073E-2</v>
      </c>
      <c r="T66" s="24">
        <f t="shared" ref="T66" si="164">J66*10000</f>
        <v>338.88064195329019</v>
      </c>
      <c r="V66" s="33">
        <f t="shared" ref="V66" si="165">(T66)*(U66)</f>
        <v>0</v>
      </c>
      <c r="W66" s="24">
        <f t="shared" ref="W66" si="166">P66</f>
        <v>0.10290808038258167</v>
      </c>
      <c r="X66" s="24">
        <f t="shared" ref="X66" si="167">I66</f>
        <v>1903.8593722357232</v>
      </c>
      <c r="Y66" s="19"/>
      <c r="Z66" s="188"/>
      <c r="AA66" s="189"/>
      <c r="AB66" s="189"/>
      <c r="AC66" s="149"/>
      <c r="AD66" s="149"/>
      <c r="AE66" s="189"/>
      <c r="AF66" s="190"/>
      <c r="AG66" s="190"/>
      <c r="AH66" s="189"/>
      <c r="AI66" s="190"/>
      <c r="AJ66" s="190"/>
      <c r="AK66" s="190"/>
      <c r="AL66" s="190"/>
      <c r="AM66" s="24"/>
      <c r="AN66" s="108"/>
      <c r="CD66" s="49"/>
      <c r="CE66" s="49"/>
      <c r="CF66" s="49"/>
      <c r="CG66" s="49"/>
      <c r="CH66" s="49"/>
    </row>
    <row r="67" spans="1:86" ht="20.5">
      <c r="A67" s="275">
        <f>Masses!C68</f>
        <v>30.5</v>
      </c>
      <c r="B67" s="253"/>
      <c r="C67" s="24">
        <f>Concentrations!K65</f>
        <v>0.34406939126270109</v>
      </c>
      <c r="D67" s="24">
        <f>Concentrations!L65</f>
        <v>3.4343128374417643E-2</v>
      </c>
      <c r="E67" s="24"/>
      <c r="F67" s="24"/>
      <c r="G67" s="24"/>
      <c r="H67" s="24"/>
      <c r="I67" s="24"/>
      <c r="J67" s="152"/>
      <c r="K67" s="261"/>
      <c r="L67" s="120">
        <f>Masses!E68</f>
        <v>0.33167596739999999</v>
      </c>
      <c r="M67" s="24">
        <f>Masses!H68</f>
        <v>5.1139579708859035E-3</v>
      </c>
      <c r="O67" s="305"/>
      <c r="P67" s="152"/>
      <c r="Q67" s="152"/>
      <c r="X67" s="24"/>
      <c r="Y67" s="19"/>
      <c r="Z67" s="188"/>
      <c r="AA67" s="191"/>
      <c r="AB67" s="192" t="s">
        <v>167</v>
      </c>
      <c r="AC67" s="193"/>
      <c r="AD67" s="194" t="s">
        <v>168</v>
      </c>
      <c r="AE67" s="189"/>
      <c r="AF67" s="190"/>
      <c r="AG67" s="190"/>
      <c r="AH67" s="189"/>
      <c r="AI67" s="190"/>
      <c r="AJ67" s="190"/>
      <c r="AK67" s="190"/>
      <c r="AL67" s="190"/>
      <c r="AM67" s="24"/>
      <c r="AN67" s="108"/>
      <c r="CD67" s="49"/>
      <c r="CE67" s="49"/>
      <c r="CF67" s="49"/>
      <c r="CG67" s="49"/>
      <c r="CH67" s="49"/>
    </row>
    <row r="68" spans="1:86" ht="20.5">
      <c r="A68" s="275"/>
      <c r="B68" s="253">
        <f>Masses!B69</f>
        <v>31</v>
      </c>
      <c r="C68" s="51"/>
      <c r="D68" s="51"/>
      <c r="E68" s="24">
        <f t="shared" ref="E68" si="168">E70+C69</f>
        <v>0.83382940239843906</v>
      </c>
      <c r="F68" s="24">
        <f t="shared" ref="F68" si="169">SQRT(SUMSQ(F70,D69))</f>
        <v>0.13203548275677426</v>
      </c>
      <c r="G68" s="24">
        <f>LN($E$6/E68)/Constants!$B$25</f>
        <v>128.81415442884997</v>
      </c>
      <c r="H68" s="24">
        <f>SQRT((G68*Constants!$B$26)^2+($F$6/$E$6)^2+(1-2*E68/$E$6)*(F68/E68)^2)/Constants!$B$25</f>
        <v>5.0377370790189344</v>
      </c>
      <c r="I68" s="81">
        <f>Constants!$B$15-G68</f>
        <v>1892.780130607473</v>
      </c>
      <c r="J68" s="152">
        <f>Constants!$B$25*CF!E68/Concentrations!I66</f>
        <v>3.0623321362616682E-2</v>
      </c>
      <c r="K68" s="261">
        <f>J68*SQRT((F68/E68)^2+(1-(E68-E70)/(E68))*(Concentrations!J66/Concentrations!I66)^2)</f>
        <v>5.3569017718802965E-3</v>
      </c>
      <c r="L68" s="125"/>
      <c r="N68" s="24">
        <f t="shared" ref="N68" si="170">AVERAGE(L67,L69)</f>
        <v>0.3165144426</v>
      </c>
      <c r="O68" s="305">
        <f t="shared" ref="O68" si="171">SQRT((M67^2+M69^2))/2</f>
        <v>3.5641549865433227E-3</v>
      </c>
      <c r="P68" s="152">
        <f t="shared" ref="P68" si="172">J68/N68</f>
        <v>9.6751734647753107E-2</v>
      </c>
      <c r="Q68" s="152">
        <f t="shared" ref="Q68" si="173">P68*SQRT(SUMSQ(K68/J68,O68/N68))</f>
        <v>1.6959698059579715E-2</v>
      </c>
      <c r="T68" s="24">
        <f t="shared" ref="T68" si="174">J68*10000</f>
        <v>306.23321362616684</v>
      </c>
      <c r="V68" s="33">
        <f t="shared" ref="V68" si="175">(T68)*(U68)</f>
        <v>0</v>
      </c>
      <c r="W68" s="24">
        <f t="shared" ref="W68" si="176">P68</f>
        <v>9.6751734647753107E-2</v>
      </c>
      <c r="X68" s="24">
        <f t="shared" ref="X68" si="177">I68</f>
        <v>1892.780130607473</v>
      </c>
      <c r="Y68" s="19"/>
      <c r="Z68" s="188"/>
      <c r="AA68" s="191"/>
      <c r="AB68" s="195" t="s">
        <v>169</v>
      </c>
      <c r="AC68" s="191"/>
      <c r="AD68" s="196"/>
      <c r="AE68" s="189"/>
      <c r="AF68" s="174" t="s">
        <v>170</v>
      </c>
      <c r="AG68" s="190"/>
      <c r="AH68" s="189"/>
      <c r="AI68" s="24"/>
      <c r="AJ68" s="190"/>
      <c r="AK68" s="190"/>
      <c r="AL68" s="190"/>
      <c r="AM68" s="190">
        <v>0.8</v>
      </c>
      <c r="AN68" s="108"/>
      <c r="CD68" s="49"/>
      <c r="CE68" s="49"/>
      <c r="CF68" s="49"/>
      <c r="CG68" s="49"/>
      <c r="CH68" s="49"/>
    </row>
    <row r="69" spans="1:86" ht="18">
      <c r="A69" s="275">
        <f>Masses!C70</f>
        <v>31.5</v>
      </c>
      <c r="B69" s="253"/>
      <c r="C69" s="24">
        <f>Concentrations!K67</f>
        <v>0.19908776108534834</v>
      </c>
      <c r="D69" s="24">
        <f>Concentrations!L67</f>
        <v>3.1000946252618022E-2</v>
      </c>
      <c r="E69" s="24"/>
      <c r="F69" s="24"/>
      <c r="G69" s="24"/>
      <c r="H69" s="24"/>
      <c r="I69" s="24"/>
      <c r="J69" s="152"/>
      <c r="K69" s="261"/>
      <c r="L69" s="120">
        <f>Masses!E70</f>
        <v>0.30135291780000001</v>
      </c>
      <c r="M69" s="24">
        <f>Masses!H70</f>
        <v>4.9659074643431545E-3</v>
      </c>
      <c r="O69" s="305"/>
      <c r="P69" s="152"/>
      <c r="Q69" s="152"/>
      <c r="X69" s="24"/>
      <c r="Y69" s="19"/>
      <c r="Z69" s="188"/>
      <c r="AA69" s="191"/>
      <c r="AB69" s="197"/>
      <c r="AC69" s="198">
        <f>E6*Constants!B25</f>
        <v>1.4431593129457556</v>
      </c>
      <c r="AD69" s="199">
        <f>AC69*SQRT(SUMSQ(F6/E6,Constants!B26/Constants!B25))</f>
        <v>1.1409785760940046E-2</v>
      </c>
      <c r="AE69" s="189"/>
      <c r="AF69" s="190"/>
      <c r="AG69" s="190"/>
      <c r="AH69" s="189"/>
      <c r="AI69" s="190"/>
      <c r="AJ69" s="190"/>
      <c r="AK69" s="190"/>
      <c r="AL69" s="190"/>
      <c r="AM69" s="24"/>
      <c r="AN69" s="108"/>
      <c r="CD69" s="49"/>
      <c r="CE69" s="49"/>
      <c r="CF69" s="49"/>
      <c r="CG69" s="49"/>
      <c r="CH69" s="49"/>
    </row>
    <row r="70" spans="1:86" ht="18">
      <c r="A70" s="275"/>
      <c r="B70" s="253">
        <f>Masses!B71</f>
        <v>32</v>
      </c>
      <c r="C70" s="51"/>
      <c r="D70" s="51"/>
      <c r="E70" s="24">
        <f t="shared" ref="E70" si="178">E72+C71</f>
        <v>0.63474164131309074</v>
      </c>
      <c r="F70" s="24">
        <f>SQRT(SUMSQ(F72,D71))</f>
        <v>0.12834449749894508</v>
      </c>
      <c r="G70" s="24">
        <f>LN($E$6/E70)/Constants!$B$25</f>
        <v>137.56349903989329</v>
      </c>
      <c r="H70" s="24">
        <f>SQRT((G70*Constants!$B$26)^2+($F$6/$E$6)^2+(1-2*E70/$E$6)*(F70/E70)^2)/Constants!$B$25</f>
        <v>6.4408471140797392</v>
      </c>
      <c r="I70" s="81">
        <f>Constants!$B$15-G70</f>
        <v>1884.0307859964298</v>
      </c>
      <c r="J70" s="152">
        <f>Constants!$B$25*CF!E70/Concentrations!I68</f>
        <v>3.2264826076202589E-2</v>
      </c>
      <c r="K70" s="261">
        <f>J70*SQRT((F70/E70)^2+(1-(E70-E72)/(E70))*(Concentrations!J68/Concentrations!I68)^2)</f>
        <v>7.2875034732795274E-3</v>
      </c>
      <c r="L70" s="125"/>
      <c r="N70" s="24">
        <f t="shared" ref="N70" si="179">AVERAGE(L69,L71)</f>
        <v>0.30287016935</v>
      </c>
      <c r="O70" s="305">
        <f t="shared" ref="O70" si="180">SQRT((M69^2+M71^2))/2</f>
        <v>3.5805603816542447E-3</v>
      </c>
      <c r="P70" s="152">
        <f t="shared" ref="P70" si="181">J70/N70</f>
        <v>0.10653022100343271</v>
      </c>
      <c r="Q70" s="152">
        <f t="shared" ref="Q70" si="182">P70*SQRT(SUMSQ(K70/J70,O70/N70))</f>
        <v>2.4094413627352648E-2</v>
      </c>
      <c r="T70" s="24">
        <f t="shared" ref="T70" si="183">J70*10000</f>
        <v>322.64826076202587</v>
      </c>
      <c r="V70" s="33">
        <f t="shared" ref="V70" si="184">(T70)*(U70)</f>
        <v>0</v>
      </c>
      <c r="W70" s="24">
        <f t="shared" ref="W70" si="185">P70</f>
        <v>0.10653022100343271</v>
      </c>
      <c r="X70" s="24">
        <f t="shared" ref="X70" si="186">I70</f>
        <v>1884.0307859964298</v>
      </c>
      <c r="Y70" s="19"/>
      <c r="Z70" s="188"/>
      <c r="AA70" s="189"/>
      <c r="AB70" s="200" t="s">
        <v>171</v>
      </c>
      <c r="AC70" s="189"/>
      <c r="AD70" s="190"/>
      <c r="AE70" s="189"/>
      <c r="AF70" s="190"/>
      <c r="AG70" s="190"/>
      <c r="AH70" s="189"/>
      <c r="AI70" s="190"/>
      <c r="AJ70" s="190"/>
      <c r="AK70" s="190"/>
      <c r="AL70" s="190"/>
      <c r="AM70" s="24"/>
      <c r="AN70" s="108"/>
      <c r="CD70" s="49"/>
      <c r="CE70" s="49"/>
      <c r="CF70" s="49"/>
      <c r="CG70" s="49"/>
      <c r="CH70" s="49"/>
    </row>
    <row r="71" spans="1:86" ht="18">
      <c r="A71" s="275">
        <f>Masses!C72</f>
        <v>32.5</v>
      </c>
      <c r="B71" s="253"/>
      <c r="C71" s="24">
        <f>Concentrations!K69</f>
        <v>0.17233849579589505</v>
      </c>
      <c r="D71" s="24">
        <f>Concentrations!L69</f>
        <v>3.1276449731869813E-2</v>
      </c>
      <c r="E71" s="24"/>
      <c r="F71" s="314"/>
      <c r="G71" s="24"/>
      <c r="H71" s="24"/>
      <c r="I71" s="24"/>
      <c r="J71" s="152"/>
      <c r="K71" s="261"/>
      <c r="L71" s="120">
        <f>Masses!E72</f>
        <v>0.30438742089999998</v>
      </c>
      <c r="M71" s="24">
        <f>Masses!H72</f>
        <v>5.1595943292345086E-3</v>
      </c>
      <c r="O71" s="305"/>
      <c r="P71" s="152"/>
      <c r="Q71" s="152"/>
      <c r="X71" s="24"/>
      <c r="Y71" s="19"/>
      <c r="Z71" s="188"/>
      <c r="AA71" s="189"/>
      <c r="AB71" s="189"/>
      <c r="AC71" s="149"/>
      <c r="AD71" s="149"/>
      <c r="AE71" s="189"/>
      <c r="AF71" s="117"/>
      <c r="AG71" s="24"/>
      <c r="AH71" s="117" t="s">
        <v>172</v>
      </c>
      <c r="AI71" s="24"/>
      <c r="AJ71" s="190"/>
      <c r="AK71" s="190"/>
      <c r="AL71" s="190"/>
      <c r="AM71" s="117">
        <f>AC69/AM68</f>
        <v>1.8039491411821944</v>
      </c>
      <c r="AN71" s="108"/>
      <c r="CD71" s="49"/>
      <c r="CE71" s="49"/>
      <c r="CF71" s="49"/>
      <c r="CG71" s="49"/>
      <c r="CH71" s="49"/>
    </row>
    <row r="72" spans="1:86" ht="18">
      <c r="A72" s="275"/>
      <c r="B72" s="253">
        <f>Masses!B73</f>
        <v>33</v>
      </c>
      <c r="C72" s="51"/>
      <c r="D72" s="51"/>
      <c r="E72" s="24">
        <f t="shared" ref="E72" si="187">E74+C73</f>
        <v>0.46240314551719569</v>
      </c>
      <c r="F72" s="314">
        <f>SQRT(SUMSQ(F74,D73))</f>
        <v>0.1244752735704025</v>
      </c>
      <c r="G72" s="24">
        <f>LN($E$6/E72)/Constants!$B$25</f>
        <v>147.72301539969743</v>
      </c>
      <c r="H72" s="24">
        <f>SQRT((G72*Constants!$B$26)^2+($F$6/$E$6)^2+(1-2*E72/$E$6)*(F72/E72)^2)/Constants!$B$25</f>
        <v>8.5857219312480968</v>
      </c>
      <c r="I72" s="81">
        <f>Constants!$B$15-G72</f>
        <v>1873.8712696366256</v>
      </c>
      <c r="J72" s="152">
        <f>Constants!$B$25*CF!E72/Concentrations!I70</f>
        <v>3.1624949244065892E-2</v>
      </c>
      <c r="K72" s="261">
        <f>J72*SQRT((F72/E72)^2+(1-(E72-E74)/(E72))*(Concentrations!J70/Concentrations!I70)^2)</f>
        <v>9.599233867156453E-3</v>
      </c>
      <c r="L72" s="125"/>
      <c r="N72" s="24">
        <f t="shared" ref="N72" si="188">AVERAGE(L71,L73)</f>
        <v>0.29866329105</v>
      </c>
      <c r="O72" s="305">
        <f t="shared" ref="O72" si="189">SQRT((M71^2+M73^2))/2</f>
        <v>3.6724300779723291E-3</v>
      </c>
      <c r="P72" s="152">
        <f t="shared" ref="P72" si="190">J72/N72</f>
        <v>0.10588830362406834</v>
      </c>
      <c r="Q72" s="152">
        <f t="shared" ref="Q72" si="191">P72*SQRT(SUMSQ(K72/J72,O72/N72))</f>
        <v>3.2167017120461876E-2</v>
      </c>
      <c r="T72" s="24">
        <f t="shared" ref="T72" si="192">J72*10000</f>
        <v>316.24949244065891</v>
      </c>
      <c r="V72" s="33">
        <f t="shared" ref="V72" si="193">(T72)*(U72)</f>
        <v>0</v>
      </c>
      <c r="W72" s="24">
        <f t="shared" ref="W72" si="194">P72</f>
        <v>0.10588830362406834</v>
      </c>
      <c r="X72" s="24">
        <f t="shared" ref="X72" si="195">I72</f>
        <v>1873.8712696366256</v>
      </c>
      <c r="Y72" s="19"/>
      <c r="Z72" s="188"/>
      <c r="AA72" s="189"/>
      <c r="AB72" s="189"/>
      <c r="AC72" s="149"/>
      <c r="AD72" s="149"/>
      <c r="AE72" s="189"/>
      <c r="AF72" s="190"/>
      <c r="AG72" s="190"/>
      <c r="AH72" s="189"/>
      <c r="AI72" s="149"/>
      <c r="AJ72" s="190"/>
      <c r="AK72" s="190"/>
      <c r="AL72" s="190"/>
      <c r="AM72" s="24"/>
      <c r="AN72" s="108"/>
      <c r="CD72" s="49"/>
      <c r="CE72" s="49"/>
      <c r="CF72" s="49"/>
      <c r="CG72" s="49"/>
      <c r="CH72" s="49"/>
    </row>
    <row r="73" spans="1:86" ht="16" thickBot="1">
      <c r="A73" s="275">
        <f>Masses!C74</f>
        <v>33.5</v>
      </c>
      <c r="B73" s="253"/>
      <c r="C73" s="24">
        <f>Concentrations!K71</f>
        <v>0.10124974275258565</v>
      </c>
      <c r="D73" s="24">
        <f>Concentrations!L71</f>
        <v>3.0030000728893665E-2</v>
      </c>
      <c r="E73" s="24"/>
      <c r="F73" s="314"/>
      <c r="G73" s="24"/>
      <c r="H73" s="24"/>
      <c r="I73" s="24"/>
      <c r="J73" s="152"/>
      <c r="K73" s="261"/>
      <c r="L73" s="120">
        <f>Masses!E74</f>
        <v>0.29293916120000002</v>
      </c>
      <c r="M73" s="24">
        <f>Masses!H74</f>
        <v>5.2273852993742946E-3</v>
      </c>
      <c r="O73" s="305"/>
      <c r="P73" s="152"/>
      <c r="Q73" s="152"/>
      <c r="X73" s="24"/>
      <c r="Y73" s="19"/>
      <c r="Z73" s="184"/>
      <c r="AA73" s="185"/>
      <c r="AB73" s="185"/>
      <c r="AC73" s="186"/>
      <c r="AD73" s="186"/>
      <c r="AE73" s="185"/>
      <c r="AF73" s="187"/>
      <c r="AG73" s="187"/>
      <c r="AH73" s="185"/>
      <c r="AI73" s="187"/>
      <c r="AJ73" s="201"/>
      <c r="AK73" s="201"/>
      <c r="AL73" s="201"/>
      <c r="AM73" s="203"/>
      <c r="AN73" s="109"/>
      <c r="CD73" s="49"/>
      <c r="CE73" s="49"/>
      <c r="CF73" s="49"/>
      <c r="CG73" s="49"/>
      <c r="CH73" s="49"/>
    </row>
    <row r="74" spans="1:86" ht="13.5" thickTop="1">
      <c r="A74" s="275"/>
      <c r="B74" s="253">
        <f>Masses!B75</f>
        <v>34</v>
      </c>
      <c r="C74" s="51"/>
      <c r="D74" s="51"/>
      <c r="E74" s="24">
        <f t="shared" ref="E74" si="196">E76+C75</f>
        <v>0.36115340276461005</v>
      </c>
      <c r="F74" s="314">
        <f>SQRT(SUMSQ(F76,D75))</f>
        <v>0.12079856285009846</v>
      </c>
      <c r="G74" s="24">
        <f>LN($E$6/E74)/Constants!$B$25</f>
        <v>155.64888733856</v>
      </c>
      <c r="H74" s="24">
        <f>SQRT((G74*Constants!$B$26)^2+($F$6/$E$6)^2+(1-2*E74/$E$6)*(F74/E74)^2)/Constants!$B$25</f>
        <v>10.677829759507727</v>
      </c>
      <c r="I74" s="81">
        <f>Constants!$B$15-G74</f>
        <v>1865.9453976977632</v>
      </c>
      <c r="J74" s="152">
        <f>Constants!$B$25*CF!E74/Concentrations!I72</f>
        <v>3.7583425947905064E-2</v>
      </c>
      <c r="K74" s="261">
        <f>J74*SQRT((F74/E74)^2+(1-(E74-E76)/(E74))*(Concentrations!J72/Concentrations!I72)^2)</f>
        <v>1.4928059559805673E-2</v>
      </c>
      <c r="L74" s="125"/>
      <c r="N74" s="24">
        <f t="shared" ref="N74" si="197">AVERAGE(L73,L75)</f>
        <v>0.29824687245000003</v>
      </c>
      <c r="O74" s="305">
        <f t="shared" ref="O74" si="198">SQRT((M73^2+M75^2))/2</f>
        <v>3.7062880313666461E-3</v>
      </c>
      <c r="P74" s="152">
        <f t="shared" ref="P74" si="199">J74/N74</f>
        <v>0.12601448470915913</v>
      </c>
      <c r="Q74" s="152">
        <f t="shared" ref="Q74" si="200">P74*SQRT(SUMSQ(K74/J74,O74/N74))</f>
        <v>5.0077185236543149E-2</v>
      </c>
      <c r="T74" s="24">
        <f t="shared" ref="T74" si="201">J74*10000</f>
        <v>375.83425947905062</v>
      </c>
      <c r="V74" s="33">
        <f t="shared" ref="V74" si="202">(T74)*(U74)</f>
        <v>0</v>
      </c>
      <c r="W74" s="24">
        <f>P74</f>
        <v>0.12601448470915913</v>
      </c>
      <c r="X74" s="24">
        <f t="shared" ref="X74" si="203">I74</f>
        <v>1865.9453976977632</v>
      </c>
      <c r="Y74" s="19"/>
      <c r="Z74" s="160"/>
      <c r="AA74" s="160"/>
      <c r="AB74" s="160"/>
      <c r="AC74" s="161"/>
      <c r="AD74" s="161"/>
      <c r="AE74" s="160"/>
      <c r="AF74" s="162"/>
      <c r="AG74" s="162"/>
      <c r="AH74" s="160"/>
      <c r="AI74" s="162"/>
      <c r="AJ74" s="24"/>
      <c r="AK74" s="24"/>
      <c r="AL74" s="24"/>
      <c r="AM74" s="24"/>
      <c r="AN74" s="24"/>
      <c r="CD74" s="49"/>
      <c r="CE74" s="49"/>
      <c r="CF74" s="49"/>
      <c r="CG74" s="49"/>
      <c r="CH74" s="49"/>
    </row>
    <row r="75" spans="1:86" ht="13.5" thickBot="1">
      <c r="A75" s="275">
        <f>Masses!C76</f>
        <v>34.5</v>
      </c>
      <c r="B75" s="275"/>
      <c r="C75" s="24">
        <f>Concentrations!K73</f>
        <v>7.6987670973133804E-2</v>
      </c>
      <c r="D75" s="24">
        <f>Concentrations!L73</f>
        <v>3.1093578923455375E-2</v>
      </c>
      <c r="E75" s="275"/>
      <c r="F75" s="315"/>
      <c r="G75" s="24"/>
      <c r="H75" s="24"/>
      <c r="I75" s="24"/>
      <c r="J75" s="152"/>
      <c r="K75" s="152"/>
      <c r="L75" s="120">
        <f>Masses!E76</f>
        <v>0.30355458369999999</v>
      </c>
      <c r="M75" s="24">
        <f>Masses!H76</f>
        <v>5.2555424855757864E-3</v>
      </c>
      <c r="N75" s="275"/>
      <c r="O75" s="275"/>
      <c r="P75" s="275"/>
      <c r="Q75" s="275"/>
      <c r="R75" s="275"/>
      <c r="S75" s="275"/>
      <c r="X75" s="24"/>
      <c r="Y75" s="19"/>
      <c r="Z75" s="101"/>
      <c r="AA75" s="101"/>
      <c r="AB75" s="101"/>
      <c r="AC75" s="154"/>
      <c r="AD75" s="154"/>
      <c r="AE75" s="101"/>
      <c r="AF75" s="155"/>
      <c r="AG75" s="155"/>
      <c r="AH75" s="101"/>
      <c r="AI75" s="155"/>
      <c r="AJ75" s="24"/>
      <c r="AK75" s="24"/>
      <c r="AL75" s="24"/>
      <c r="AM75" s="24"/>
      <c r="AN75" s="24"/>
      <c r="CD75" s="49"/>
      <c r="CE75" s="49"/>
      <c r="CF75" s="49"/>
      <c r="CG75" s="49"/>
      <c r="CH75" s="49"/>
    </row>
    <row r="76" spans="1:86" ht="14" thickTop="1" thickBot="1">
      <c r="A76" s="299" t="s">
        <v>258</v>
      </c>
      <c r="B76" s="300">
        <f>Masses!B77</f>
        <v>35</v>
      </c>
      <c r="C76" s="299"/>
      <c r="D76" s="301"/>
      <c r="E76" s="316">
        <f>I108</f>
        <v>0.28416573179147625</v>
      </c>
      <c r="F76" s="317">
        <f>E76*SQRT((CFCS!H53/CFCS!H51)^2+(Constants!B26/Constants!B25)^2+(Concentrations!H73/Concentrations!G73)^2)</f>
        <v>0.11672824052636123</v>
      </c>
      <c r="G76" s="302"/>
      <c r="H76" s="302"/>
      <c r="I76" s="302"/>
      <c r="J76" s="302"/>
      <c r="K76" s="303"/>
      <c r="L76" s="299"/>
      <c r="M76" s="299"/>
      <c r="N76" s="302"/>
      <c r="O76" s="302"/>
      <c r="P76" s="302"/>
      <c r="Q76" s="302"/>
      <c r="R76" s="299"/>
      <c r="S76" s="299"/>
      <c r="T76" s="302"/>
      <c r="U76" s="304"/>
      <c r="V76" s="304"/>
      <c r="W76" s="302"/>
      <c r="X76" s="302"/>
      <c r="AG76" s="24"/>
      <c r="AK76" s="24"/>
      <c r="CD76" s="49"/>
      <c r="CE76" s="49"/>
      <c r="CF76" s="49"/>
      <c r="CG76" s="49"/>
      <c r="CH76" s="49"/>
    </row>
    <row r="77" spans="1:86" ht="13.5" thickTop="1">
      <c r="A77" s="275"/>
      <c r="B77" s="275"/>
      <c r="C77" s="24"/>
      <c r="D77" s="24"/>
      <c r="E77" s="275"/>
      <c r="F77" s="275"/>
      <c r="G77" s="24"/>
      <c r="H77" s="24"/>
      <c r="I77" s="24"/>
      <c r="J77" s="152"/>
      <c r="K77" s="152"/>
      <c r="L77" s="275"/>
      <c r="M77" s="275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AG77" s="24"/>
      <c r="AK77" s="24"/>
      <c r="CD77" s="49"/>
      <c r="CE77" s="49"/>
      <c r="CF77" s="49"/>
      <c r="CG77" s="49"/>
      <c r="CH77" s="49"/>
    </row>
    <row r="78" spans="1:86">
      <c r="A78" s="275"/>
      <c r="B78" s="275"/>
      <c r="C78" s="275"/>
      <c r="D78" s="275"/>
      <c r="E78" s="275"/>
      <c r="F78" s="275"/>
      <c r="G78" s="24"/>
      <c r="H78" s="24"/>
      <c r="I78" s="81"/>
      <c r="J78" s="152"/>
      <c r="K78" s="261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43"/>
      <c r="Z78" s="43"/>
      <c r="AA78" s="43"/>
      <c r="AB78" s="43"/>
      <c r="AG78" s="24"/>
      <c r="AK78" s="24"/>
      <c r="CD78" s="49"/>
      <c r="CE78" s="49"/>
      <c r="CF78" s="49"/>
      <c r="CG78" s="49"/>
      <c r="CH78" s="49"/>
    </row>
    <row r="79" spans="1:86">
      <c r="A79" s="275"/>
      <c r="B79" s="275"/>
      <c r="C79" s="24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AG79" s="24"/>
      <c r="AK79" s="24"/>
      <c r="CD79" s="49"/>
      <c r="CE79" s="49"/>
      <c r="CF79" s="49"/>
      <c r="CG79" s="49"/>
      <c r="CH79" s="49"/>
    </row>
    <row r="80" spans="1:86">
      <c r="A80" s="275"/>
      <c r="B80" s="275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AG80" s="24"/>
      <c r="AK80" s="24"/>
      <c r="CD80" s="49"/>
      <c r="CE80" s="49"/>
      <c r="CF80" s="49"/>
      <c r="CG80" s="49"/>
      <c r="CH80" s="49"/>
    </row>
    <row r="81" spans="1:86">
      <c r="A81" s="275"/>
      <c r="B81" s="275"/>
      <c r="C81" s="275"/>
      <c r="D81" s="275"/>
      <c r="E81" s="275"/>
      <c r="F81" s="275"/>
      <c r="G81" s="275"/>
      <c r="H81" s="275"/>
      <c r="I81" s="275"/>
      <c r="J81" s="275"/>
      <c r="K81" s="275"/>
      <c r="L81" s="275"/>
      <c r="M81" s="275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AG81" s="24"/>
      <c r="AK81" s="24"/>
      <c r="CD81" s="49"/>
      <c r="CE81" s="49"/>
      <c r="CF81" s="49"/>
      <c r="CG81" s="49"/>
      <c r="CH81" s="49"/>
    </row>
    <row r="82" spans="1:86">
      <c r="A82" s="275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AG82" s="24"/>
      <c r="AK82" s="24"/>
      <c r="CD82" s="49"/>
      <c r="CE82" s="49"/>
      <c r="CF82" s="49"/>
      <c r="CG82" s="49"/>
      <c r="CH82" s="49"/>
    </row>
    <row r="83" spans="1:86" ht="13" customHeight="1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75"/>
      <c r="P83" s="275"/>
      <c r="Q83" s="275"/>
      <c r="R83" s="275"/>
      <c r="S83" s="275"/>
      <c r="T83" s="275"/>
      <c r="U83" s="275"/>
      <c r="V83" s="275"/>
      <c r="W83" s="275"/>
      <c r="X83" s="275"/>
      <c r="AD83" s="105"/>
      <c r="AG83" s="24"/>
      <c r="AK83" s="24"/>
      <c r="CD83" s="49"/>
      <c r="CE83" s="49"/>
      <c r="CF83" s="49"/>
      <c r="CG83" s="49"/>
      <c r="CH83" s="49"/>
    </row>
    <row r="84" spans="1:86">
      <c r="A84" s="275"/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AG84" s="24"/>
      <c r="AK84" s="24"/>
      <c r="CD84" s="49"/>
      <c r="CE84" s="49"/>
      <c r="CF84" s="49"/>
      <c r="CG84" s="49"/>
      <c r="CH84" s="49"/>
    </row>
    <row r="85" spans="1:86" ht="13" customHeight="1">
      <c r="A85" s="275"/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AD85" s="105"/>
      <c r="AG85" s="24"/>
      <c r="AK85" s="24"/>
      <c r="CD85" s="49"/>
      <c r="CE85" s="49"/>
      <c r="CF85" s="49"/>
      <c r="CG85" s="49"/>
      <c r="CH85" s="49"/>
    </row>
    <row r="86" spans="1:86">
      <c r="A86" s="275"/>
      <c r="B86" s="275"/>
      <c r="C86" s="275"/>
      <c r="D86" s="275"/>
      <c r="E86" s="275"/>
      <c r="F86" s="275"/>
      <c r="G86" s="275"/>
      <c r="H86" s="275"/>
      <c r="I86" s="275"/>
      <c r="J86" s="275"/>
      <c r="K86" s="275"/>
      <c r="L86" s="275"/>
      <c r="M86" s="275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AG86" s="24"/>
      <c r="AK86" s="24"/>
      <c r="CD86" s="49"/>
      <c r="CE86" s="49"/>
      <c r="CF86" s="49"/>
      <c r="CG86" s="49"/>
      <c r="CH86" s="49"/>
    </row>
    <row r="87" spans="1:86" ht="13" customHeight="1">
      <c r="A87" s="275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AD87" s="105"/>
      <c r="AG87" s="24"/>
      <c r="AK87" s="24"/>
      <c r="CD87" s="49"/>
      <c r="CE87" s="49"/>
      <c r="CF87" s="49"/>
      <c r="CG87" s="49"/>
      <c r="CH87" s="49"/>
    </row>
    <row r="88" spans="1:86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AG88" s="24"/>
      <c r="AK88" s="24"/>
      <c r="CD88" s="49"/>
      <c r="CE88" s="49"/>
      <c r="CF88" s="49"/>
      <c r="CG88" s="49"/>
      <c r="CH88" s="49"/>
    </row>
    <row r="89" spans="1:86">
      <c r="A89" s="275"/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AG89" s="24"/>
      <c r="AK89" s="24"/>
      <c r="CD89" s="49"/>
      <c r="CE89" s="49"/>
      <c r="CF89" s="49"/>
      <c r="CG89" s="49"/>
      <c r="CH89" s="49"/>
    </row>
    <row r="90" spans="1:86">
      <c r="A90" s="275"/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AG90" s="24"/>
      <c r="AK90" s="24"/>
      <c r="CD90" s="49"/>
      <c r="CE90" s="49"/>
      <c r="CF90" s="49"/>
      <c r="CG90" s="49"/>
      <c r="CH90" s="49"/>
    </row>
    <row r="91" spans="1:86">
      <c r="A91" s="275"/>
      <c r="B91" s="275"/>
      <c r="C91" s="275"/>
      <c r="D91" s="275"/>
      <c r="E91" s="275"/>
      <c r="F91" s="275"/>
      <c r="G91" s="275"/>
      <c r="H91" s="275"/>
      <c r="I91" s="275"/>
      <c r="J91" s="275"/>
      <c r="K91" s="275"/>
      <c r="L91" s="275"/>
      <c r="M91" s="275"/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5"/>
      <c r="AG91" s="24"/>
      <c r="AK91" s="24"/>
      <c r="CD91" s="49"/>
      <c r="CE91" s="49"/>
      <c r="CF91" s="49"/>
      <c r="CG91" s="49"/>
      <c r="CH91" s="49"/>
    </row>
    <row r="92" spans="1:86">
      <c r="A92" s="275"/>
      <c r="B92" s="275"/>
      <c r="C92" s="275"/>
      <c r="D92" s="275"/>
      <c r="E92" s="275"/>
      <c r="F92" s="275"/>
      <c r="G92" s="275"/>
      <c r="H92" s="275"/>
      <c r="I92" s="275"/>
      <c r="J92" s="275"/>
      <c r="K92" s="275"/>
      <c r="L92" s="275"/>
      <c r="M92" s="275"/>
      <c r="N92" s="275"/>
      <c r="O92" s="275"/>
      <c r="P92" s="275"/>
      <c r="Q92" s="275"/>
      <c r="R92" s="275"/>
      <c r="S92" s="275"/>
      <c r="T92" s="275"/>
      <c r="U92" s="275"/>
      <c r="V92" s="275"/>
      <c r="W92" s="275"/>
      <c r="X92" s="275"/>
      <c r="AG92" s="24"/>
      <c r="AK92" s="24"/>
      <c r="CD92" s="49"/>
      <c r="CE92" s="49"/>
      <c r="CF92" s="49"/>
      <c r="CG92" s="49"/>
      <c r="CH92" s="49"/>
    </row>
    <row r="93" spans="1:86">
      <c r="A93" s="275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CD93" s="49"/>
      <c r="CE93" s="49"/>
      <c r="CF93" s="49"/>
      <c r="CG93" s="49"/>
      <c r="CH93" s="49"/>
    </row>
    <row r="94" spans="1:86" ht="15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AB94" s="106"/>
      <c r="AC94" s="104"/>
      <c r="CD94" s="49"/>
      <c r="CE94" s="49"/>
      <c r="CF94" s="49"/>
      <c r="CG94" s="49"/>
      <c r="CH94" s="49"/>
    </row>
    <row r="95" spans="1:86" ht="15">
      <c r="A95" s="275"/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AB95" s="104"/>
      <c r="AC95" s="104"/>
      <c r="CD95" s="49"/>
      <c r="CE95" s="49"/>
      <c r="CF95" s="49"/>
      <c r="CG95" s="49"/>
      <c r="CH95" s="49"/>
    </row>
    <row r="96" spans="1:86" ht="15">
      <c r="A96" s="275"/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AB96" s="104"/>
      <c r="AC96" s="104"/>
      <c r="CD96" s="49"/>
      <c r="CE96" s="49"/>
      <c r="CF96" s="49"/>
      <c r="CG96" s="49"/>
      <c r="CH96" s="49"/>
    </row>
    <row r="97" spans="1:86">
      <c r="A97" s="275"/>
      <c r="B97" s="275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CD97" s="49"/>
      <c r="CE97" s="49"/>
      <c r="CF97" s="49"/>
      <c r="CG97" s="49"/>
      <c r="CH97" s="49"/>
    </row>
    <row r="98" spans="1:86">
      <c r="A98" s="275"/>
      <c r="B98" s="275"/>
      <c r="C98" s="275"/>
      <c r="D98" s="275"/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CD98" s="49"/>
      <c r="CE98" s="49"/>
      <c r="CF98" s="49"/>
      <c r="CG98" s="49"/>
      <c r="CH98" s="49"/>
    </row>
    <row r="99" spans="1:86">
      <c r="A99" s="275"/>
      <c r="B99" s="275"/>
      <c r="C99" s="275"/>
      <c r="D99" s="275"/>
      <c r="E99" s="275"/>
      <c r="F99" s="275"/>
      <c r="G99" s="275"/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CD99" s="49"/>
      <c r="CE99" s="49"/>
      <c r="CF99" s="49"/>
      <c r="CG99" s="49"/>
      <c r="CH99" s="49"/>
    </row>
    <row r="100" spans="1:86">
      <c r="A100" s="275"/>
      <c r="B100" s="275"/>
      <c r="C100" s="275"/>
      <c r="D100" s="275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CD100" s="49"/>
      <c r="CE100" s="49"/>
      <c r="CF100" s="49"/>
      <c r="CG100" s="49"/>
      <c r="CH100" s="49"/>
    </row>
    <row r="101" spans="1:86">
      <c r="A101" s="275"/>
      <c r="B101" s="275"/>
      <c r="C101" s="275"/>
      <c r="D101" s="275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CD101" s="49"/>
      <c r="CE101" s="49"/>
      <c r="CF101" s="49"/>
      <c r="CG101" s="49"/>
      <c r="CH101" s="49"/>
    </row>
    <row r="102" spans="1:86">
      <c r="A102" s="275"/>
      <c r="B102" s="275"/>
      <c r="C102" s="275"/>
      <c r="D102" s="275"/>
      <c r="E102" s="275"/>
      <c r="F102" s="275"/>
      <c r="G102" s="275"/>
      <c r="H102" s="275"/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CD102" s="49"/>
      <c r="CE102" s="49"/>
      <c r="CF102" s="49"/>
      <c r="CG102" s="49"/>
      <c r="CH102" s="49"/>
    </row>
    <row r="103" spans="1:86" ht="15">
      <c r="A103" s="50"/>
      <c r="D103" s="101"/>
      <c r="E103" s="101"/>
      <c r="F103" s="156"/>
      <c r="G103" s="101"/>
      <c r="H103" s="157"/>
      <c r="I103" s="101"/>
      <c r="J103" s="158"/>
      <c r="K103" s="155"/>
      <c r="L103" s="101"/>
      <c r="M103" s="155"/>
      <c r="CD103" s="49"/>
      <c r="CE103" s="49"/>
      <c r="CF103" s="49"/>
      <c r="CG103" s="49"/>
      <c r="CH103" s="49"/>
    </row>
    <row r="104" spans="1:86" ht="15">
      <c r="A104" s="50"/>
      <c r="D104" s="164" t="s">
        <v>173</v>
      </c>
      <c r="E104" s="101"/>
      <c r="F104" s="157"/>
      <c r="G104" s="101"/>
      <c r="H104" s="154"/>
      <c r="I104" s="101"/>
      <c r="J104" s="155"/>
      <c r="K104" s="155"/>
      <c r="L104" s="101"/>
      <c r="M104" s="155" t="s">
        <v>174</v>
      </c>
      <c r="CD104" s="49"/>
      <c r="CE104" s="49"/>
      <c r="CF104" s="49"/>
      <c r="CG104" s="49"/>
      <c r="CH104" s="49"/>
    </row>
    <row r="105" spans="1:86">
      <c r="A105" s="50"/>
      <c r="C105" s="33"/>
      <c r="D105" s="50"/>
      <c r="G105" s="19"/>
      <c r="I105" s="45"/>
      <c r="J105" s="19"/>
      <c r="L105" s="24"/>
      <c r="M105" s="155"/>
      <c r="CD105" s="49"/>
      <c r="CE105" s="49"/>
      <c r="CF105" s="49"/>
      <c r="CG105" s="49"/>
      <c r="CH105" s="49"/>
    </row>
    <row r="106" spans="1:86" ht="17.5">
      <c r="A106" s="50"/>
      <c r="B106" s="171" t="s">
        <v>175</v>
      </c>
      <c r="C106" s="33"/>
      <c r="G106" s="19"/>
      <c r="I106" s="45"/>
      <c r="J106" s="19"/>
      <c r="L106" s="24"/>
      <c r="M106" s="155"/>
      <c r="CD106" s="49"/>
      <c r="CE106" s="49"/>
      <c r="CF106" s="49"/>
      <c r="CG106" s="49"/>
      <c r="CH106" s="49"/>
    </row>
    <row r="107" spans="1:86">
      <c r="A107" s="50"/>
      <c r="C107" s="33"/>
      <c r="D107" s="50"/>
      <c r="G107" s="19"/>
      <c r="I107" s="45"/>
      <c r="J107" s="19"/>
      <c r="L107" s="24"/>
      <c r="M107" s="155"/>
      <c r="CD107" s="49"/>
      <c r="CE107" s="49"/>
      <c r="CF107" s="49"/>
      <c r="CG107" s="49"/>
      <c r="CH107" s="49"/>
    </row>
    <row r="108" spans="1:86" ht="18">
      <c r="A108" s="50"/>
      <c r="C108" s="33"/>
      <c r="D108" s="50"/>
      <c r="G108" s="19"/>
      <c r="H108" s="149" t="s">
        <v>176</v>
      </c>
      <c r="I108" s="310">
        <f>((Concentrations!G73)*(CFCS!H51))/0.03118</f>
        <v>0.28416573179147625</v>
      </c>
      <c r="J108" s="19"/>
      <c r="K108" s="150"/>
      <c r="L108" s="24"/>
      <c r="M108" s="154"/>
      <c r="CD108" s="49"/>
      <c r="CE108" s="49"/>
      <c r="CF108" s="49"/>
      <c r="CG108" s="49"/>
      <c r="CH108" s="49"/>
    </row>
    <row r="109" spans="1:86">
      <c r="A109" s="50"/>
      <c r="C109" s="33"/>
      <c r="D109" s="50"/>
      <c r="G109" s="19"/>
      <c r="I109" s="45"/>
      <c r="J109" s="19"/>
      <c r="L109" s="24"/>
      <c r="M109" s="155"/>
      <c r="CD109" s="49"/>
      <c r="CE109" s="49"/>
      <c r="CF109" s="49"/>
      <c r="CG109" s="49"/>
      <c r="CH109" s="49"/>
    </row>
    <row r="110" spans="1:86" ht="17.5">
      <c r="A110" s="50"/>
      <c r="C110" s="33"/>
      <c r="D110" s="50"/>
      <c r="G110" s="19"/>
      <c r="I110" s="45" t="s">
        <v>177</v>
      </c>
      <c r="J110" s="19"/>
      <c r="L110" s="24"/>
      <c r="M110" s="155"/>
      <c r="CD110" s="49"/>
      <c r="CE110" s="49"/>
      <c r="CF110" s="49"/>
      <c r="CG110" s="49"/>
      <c r="CH110" s="49"/>
    </row>
    <row r="111" spans="1:86" ht="17.5">
      <c r="A111" s="50"/>
      <c r="C111" s="33"/>
      <c r="D111" s="50"/>
      <c r="G111" s="151" t="s">
        <v>178</v>
      </c>
      <c r="I111" s="45"/>
      <c r="J111" s="19"/>
      <c r="L111" s="24"/>
      <c r="CD111" s="49"/>
      <c r="CE111" s="49"/>
      <c r="CF111" s="49"/>
      <c r="CG111" s="49"/>
      <c r="CH111" s="49"/>
    </row>
    <row r="112" spans="1:86">
      <c r="A112" s="50"/>
      <c r="C112" s="33"/>
      <c r="D112" s="50"/>
      <c r="G112" s="19"/>
      <c r="I112" s="45"/>
      <c r="J112" s="19"/>
      <c r="L112" s="24"/>
      <c r="CD112" s="49"/>
      <c r="CE112" s="49"/>
      <c r="CF112" s="49"/>
      <c r="CG112" s="49"/>
      <c r="CH112" s="49"/>
    </row>
    <row r="113" spans="1:86">
      <c r="A113" s="50"/>
      <c r="C113" s="33"/>
      <c r="D113" s="50"/>
      <c r="G113" s="19"/>
      <c r="I113" s="45"/>
      <c r="J113" s="19"/>
      <c r="L113" s="24"/>
      <c r="CD113" s="49"/>
      <c r="CE113" s="49"/>
      <c r="CF113" s="49"/>
      <c r="CG113" s="49"/>
      <c r="CH113" s="49"/>
    </row>
    <row r="114" spans="1:86">
      <c r="A114" s="50"/>
      <c r="C114" s="33"/>
      <c r="D114" s="50"/>
      <c r="G114" s="19"/>
      <c r="I114" s="45"/>
      <c r="J114" s="19"/>
      <c r="L114" s="24"/>
      <c r="CD114" s="49"/>
      <c r="CE114" s="49"/>
      <c r="CF114" s="49"/>
      <c r="CG114" s="49"/>
      <c r="CH114" s="49"/>
    </row>
    <row r="115" spans="1:86">
      <c r="A115" s="50"/>
      <c r="C115" s="33"/>
      <c r="D115" s="50"/>
      <c r="G115" s="19"/>
      <c r="I115" s="45"/>
      <c r="J115" s="19"/>
      <c r="K115" s="19"/>
      <c r="CD115" s="49"/>
      <c r="CE115" s="49"/>
      <c r="CF115" s="49"/>
      <c r="CG115" s="49"/>
      <c r="CH115" s="49"/>
    </row>
    <row r="116" spans="1:86">
      <c r="A116" s="50"/>
      <c r="C116" s="33"/>
      <c r="D116" s="50"/>
      <c r="G116" s="19"/>
      <c r="I116" s="45"/>
      <c r="J116" s="19"/>
      <c r="K116" s="19"/>
      <c r="CD116" s="49"/>
      <c r="CE116" s="49"/>
      <c r="CF116" s="49"/>
      <c r="CG116" s="49"/>
      <c r="CH116" s="49"/>
    </row>
    <row r="117" spans="1:86">
      <c r="A117" s="50"/>
      <c r="C117" s="33"/>
      <c r="D117" s="50"/>
      <c r="G117" s="19"/>
      <c r="I117" s="45"/>
      <c r="J117" s="19"/>
      <c r="K117" s="19"/>
      <c r="CD117" s="49"/>
      <c r="CE117" s="49"/>
      <c r="CF117" s="49"/>
      <c r="CG117" s="49"/>
      <c r="CH117" s="49"/>
    </row>
    <row r="118" spans="1:86" ht="15">
      <c r="A118" s="50"/>
      <c r="J118" s="104"/>
      <c r="K118" s="104"/>
      <c r="L118" s="105"/>
      <c r="CD118" s="49"/>
      <c r="CE118" s="49"/>
      <c r="CF118" s="49"/>
      <c r="CG118" s="49"/>
      <c r="CH118" s="49"/>
    </row>
    <row r="119" spans="1:86">
      <c r="A119" s="50"/>
      <c r="CD119" s="49"/>
      <c r="CE119" s="49"/>
      <c r="CF119" s="49"/>
      <c r="CG119" s="49"/>
      <c r="CH119" s="49"/>
    </row>
    <row r="120" spans="1:86" ht="17.5">
      <c r="A120" s="50"/>
      <c r="B120" s="170" t="s">
        <v>179</v>
      </c>
      <c r="C120" s="24"/>
      <c r="D120" s="24"/>
      <c r="G120" s="33"/>
      <c r="H120" s="33"/>
      <c r="I120" s="251" t="s">
        <v>180</v>
      </c>
      <c r="J120" s="33"/>
      <c r="K120" s="33"/>
      <c r="L120" s="33"/>
      <c r="CD120" s="49"/>
      <c r="CE120" s="49"/>
      <c r="CF120" s="49"/>
      <c r="CG120" s="49"/>
      <c r="CH120" s="49"/>
    </row>
    <row r="121" spans="1:86">
      <c r="A121" s="50"/>
      <c r="B121" s="50"/>
      <c r="C121" s="24"/>
      <c r="D121" s="24"/>
      <c r="E121" s="33"/>
      <c r="F121" s="33"/>
      <c r="G121" s="33"/>
      <c r="H121" s="33"/>
      <c r="I121" s="33"/>
      <c r="J121" s="33"/>
      <c r="K121" s="33"/>
      <c r="L121" s="33"/>
      <c r="CD121" s="49"/>
      <c r="CE121" s="49"/>
      <c r="CF121" s="49"/>
      <c r="CG121" s="49"/>
      <c r="CH121" s="49"/>
    </row>
    <row r="122" spans="1:86">
      <c r="A122" s="50"/>
      <c r="B122" s="50"/>
      <c r="C122" s="24"/>
      <c r="D122" s="24"/>
      <c r="E122" s="33"/>
      <c r="F122" s="33"/>
      <c r="G122" s="33"/>
      <c r="H122" s="33"/>
      <c r="I122" s="33"/>
      <c r="J122" s="33"/>
      <c r="K122" s="33"/>
      <c r="L122" s="33"/>
      <c r="M122" s="33"/>
      <c r="CD122" s="49"/>
      <c r="CE122" s="49"/>
      <c r="CF122" s="49"/>
      <c r="CG122" s="49"/>
      <c r="CH122" s="49"/>
    </row>
    <row r="123" spans="1:86" ht="18">
      <c r="A123" s="50"/>
      <c r="B123" s="50"/>
      <c r="C123" s="24"/>
      <c r="D123" s="24"/>
      <c r="E123" s="33"/>
      <c r="F123" s="119" t="s">
        <v>181</v>
      </c>
      <c r="G123" s="33"/>
      <c r="H123" s="33"/>
      <c r="I123" s="33"/>
      <c r="J123" s="33"/>
      <c r="K123" s="33"/>
      <c r="L123" s="33"/>
      <c r="M123" s="33"/>
      <c r="CD123" s="49"/>
      <c r="CE123" s="49"/>
      <c r="CF123" s="49"/>
      <c r="CG123" s="49"/>
      <c r="CH123" s="49"/>
    </row>
    <row r="124" spans="1:86">
      <c r="A124" s="50"/>
      <c r="B124" s="50"/>
      <c r="C124" s="24"/>
      <c r="D124" s="24"/>
      <c r="E124" s="33"/>
      <c r="F124" s="33"/>
      <c r="G124" s="33"/>
      <c r="H124" s="33"/>
      <c r="I124" s="33"/>
      <c r="J124" s="33"/>
      <c r="K124" s="33"/>
      <c r="L124" s="33"/>
      <c r="M124" s="33"/>
      <c r="CD124" s="49"/>
      <c r="CE124" s="49"/>
      <c r="CF124" s="49"/>
      <c r="CG124" s="49"/>
      <c r="CH124" s="49"/>
    </row>
    <row r="125" spans="1:86">
      <c r="A125" s="50"/>
      <c r="B125" s="50"/>
      <c r="C125" s="24"/>
      <c r="D125" s="24"/>
      <c r="E125" s="33"/>
      <c r="F125" s="33"/>
      <c r="G125" s="33"/>
      <c r="H125" s="33"/>
      <c r="I125" s="33"/>
      <c r="J125" s="33"/>
      <c r="K125" s="33"/>
      <c r="L125" s="33"/>
      <c r="M125" s="33"/>
      <c r="CD125" s="49"/>
      <c r="CE125" s="49"/>
      <c r="CF125" s="49"/>
      <c r="CG125" s="49"/>
      <c r="CH125" s="49"/>
    </row>
    <row r="126" spans="1:86">
      <c r="A126" s="50"/>
      <c r="B126" s="50"/>
      <c r="C126" s="24"/>
      <c r="D126" s="24"/>
      <c r="E126" s="33"/>
      <c r="F126" s="33"/>
      <c r="G126" s="33"/>
      <c r="H126" s="33"/>
      <c r="I126" s="33"/>
      <c r="J126" s="33"/>
      <c r="K126" s="33"/>
      <c r="L126" s="33"/>
      <c r="M126" s="33"/>
      <c r="CD126" s="49"/>
      <c r="CE126" s="49"/>
      <c r="CF126" s="49"/>
      <c r="CG126" s="49"/>
      <c r="CH126" s="49"/>
    </row>
    <row r="127" spans="1:86">
      <c r="A127" s="50"/>
      <c r="B127" s="50"/>
      <c r="C127" s="24"/>
      <c r="D127" s="24"/>
      <c r="E127" s="33"/>
      <c r="F127" s="33"/>
      <c r="G127" s="33"/>
      <c r="H127" s="33"/>
      <c r="I127" s="33"/>
      <c r="J127" s="33"/>
      <c r="K127" s="33"/>
      <c r="L127" s="33"/>
      <c r="M127" s="33"/>
      <c r="CD127" s="49"/>
      <c r="CE127" s="49"/>
      <c r="CF127" s="49"/>
      <c r="CG127" s="49"/>
      <c r="CH127" s="49"/>
    </row>
    <row r="128" spans="1:86">
      <c r="A128" s="50"/>
      <c r="B128" s="50"/>
      <c r="C128" s="24"/>
      <c r="D128" s="24"/>
      <c r="E128" s="33"/>
      <c r="F128" s="33"/>
      <c r="G128" s="33"/>
      <c r="H128" s="33"/>
      <c r="I128" s="33"/>
      <c r="J128" s="33"/>
      <c r="K128" s="33"/>
      <c r="L128" s="33"/>
      <c r="M128" s="33"/>
      <c r="CD128" s="49"/>
      <c r="CE128" s="49"/>
      <c r="CF128" s="49"/>
      <c r="CG128" s="49"/>
      <c r="CH128" s="49"/>
    </row>
    <row r="129" spans="2:86">
      <c r="B129" s="50"/>
      <c r="C129" s="24"/>
      <c r="D129" s="24"/>
      <c r="E129" s="33"/>
      <c r="F129" s="33"/>
      <c r="G129" s="33"/>
      <c r="H129" s="33"/>
      <c r="I129" s="33"/>
      <c r="J129" s="33"/>
      <c r="K129" s="33"/>
      <c r="L129" s="33"/>
      <c r="M129" s="33"/>
      <c r="CD129" s="49"/>
      <c r="CE129" s="49"/>
      <c r="CF129" s="49"/>
      <c r="CG129" s="49"/>
      <c r="CH129" s="49"/>
    </row>
    <row r="130" spans="2:86">
      <c r="B130" s="50"/>
      <c r="C130" s="24"/>
      <c r="D130" s="24"/>
      <c r="E130" s="33"/>
      <c r="F130" s="33"/>
      <c r="G130" s="33"/>
      <c r="H130" s="33"/>
      <c r="I130" s="33"/>
      <c r="J130" s="33"/>
      <c r="K130" s="33"/>
      <c r="L130" s="33"/>
      <c r="M130" s="33"/>
    </row>
    <row r="131" spans="2:86">
      <c r="B131" s="50"/>
      <c r="C131" s="24"/>
      <c r="D131" s="24"/>
      <c r="E131" s="33"/>
      <c r="F131" s="33"/>
      <c r="G131" s="33"/>
      <c r="H131" s="33"/>
      <c r="I131" s="33"/>
      <c r="J131" s="33"/>
      <c r="K131" s="33"/>
      <c r="L131" s="33"/>
      <c r="M131" s="33"/>
    </row>
    <row r="132" spans="2:86">
      <c r="B132" s="50"/>
      <c r="C132" s="24"/>
      <c r="D132" s="24"/>
      <c r="E132" s="33"/>
      <c r="F132" s="33"/>
      <c r="G132" s="33"/>
      <c r="H132" s="33"/>
      <c r="I132" s="33"/>
      <c r="J132" s="33"/>
      <c r="K132" s="33"/>
      <c r="L132" s="33"/>
      <c r="M132" s="33"/>
    </row>
    <row r="133" spans="2:86">
      <c r="B133" s="50"/>
      <c r="C133" s="24"/>
      <c r="D133" s="24"/>
      <c r="E133" s="33"/>
      <c r="F133" s="33"/>
      <c r="G133" s="33"/>
      <c r="H133" s="33"/>
      <c r="I133" s="33"/>
      <c r="J133" s="33"/>
      <c r="K133" s="33"/>
      <c r="L133" s="33"/>
      <c r="M133" s="33"/>
    </row>
    <row r="134" spans="2:86">
      <c r="B134" s="50"/>
      <c r="C134" s="24"/>
      <c r="D134" s="24"/>
      <c r="E134" s="33"/>
      <c r="F134" s="33"/>
      <c r="G134" s="33"/>
      <c r="H134" s="33"/>
      <c r="I134" s="33"/>
      <c r="J134" s="33"/>
      <c r="K134" s="33"/>
      <c r="L134" s="33"/>
      <c r="M134" s="33"/>
    </row>
    <row r="135" spans="2:86">
      <c r="B135" s="50"/>
      <c r="C135" s="24"/>
      <c r="D135" s="24"/>
      <c r="E135" s="33"/>
      <c r="F135" s="33"/>
      <c r="G135" s="33"/>
      <c r="H135" s="33"/>
      <c r="I135" s="33"/>
      <c r="J135" s="33"/>
      <c r="K135" s="33"/>
      <c r="L135" s="33"/>
      <c r="M135" s="33"/>
    </row>
    <row r="136" spans="2:86">
      <c r="B136" s="50"/>
      <c r="C136" s="24"/>
      <c r="D136" s="24"/>
      <c r="E136" s="33"/>
      <c r="F136" s="33"/>
      <c r="G136" s="33"/>
      <c r="H136" s="33"/>
      <c r="I136" s="33"/>
      <c r="J136" s="33"/>
      <c r="K136" s="33"/>
      <c r="L136" s="33"/>
      <c r="M136" s="33"/>
    </row>
    <row r="137" spans="2:86">
      <c r="B137" s="50"/>
      <c r="C137" s="24"/>
      <c r="D137" s="24"/>
      <c r="E137" s="33"/>
      <c r="F137" s="33"/>
      <c r="G137" s="33"/>
      <c r="H137" s="33"/>
      <c r="I137" s="33"/>
      <c r="J137" s="33"/>
      <c r="K137" s="33"/>
      <c r="L137" s="33"/>
      <c r="M137" s="33"/>
    </row>
    <row r="138" spans="2:86">
      <c r="B138" s="50"/>
      <c r="C138" s="24"/>
      <c r="D138" s="24"/>
      <c r="E138" s="33"/>
      <c r="F138" s="33"/>
      <c r="G138" s="33"/>
      <c r="H138" s="33"/>
      <c r="I138" s="33"/>
      <c r="J138" s="33"/>
      <c r="K138" s="33" t="s">
        <v>182</v>
      </c>
      <c r="L138" s="33"/>
      <c r="M138" s="33"/>
    </row>
    <row r="139" spans="2:86">
      <c r="B139" s="50"/>
      <c r="C139" s="24"/>
      <c r="D139" s="24"/>
      <c r="E139" s="33"/>
      <c r="F139" s="33"/>
      <c r="G139" s="33"/>
      <c r="H139" s="33"/>
      <c r="I139" s="33"/>
      <c r="J139" s="33"/>
      <c r="K139" s="33"/>
      <c r="L139" s="33"/>
      <c r="M139" s="33"/>
    </row>
    <row r="140" spans="2:86">
      <c r="B140" s="50"/>
      <c r="C140" s="24"/>
      <c r="D140" s="24"/>
      <c r="E140" s="33"/>
      <c r="F140" s="33"/>
      <c r="G140" s="33"/>
      <c r="H140" s="33"/>
      <c r="I140" s="33"/>
      <c r="J140" s="33"/>
      <c r="K140" s="33"/>
      <c r="L140" s="33"/>
      <c r="M140" s="33"/>
    </row>
    <row r="141" spans="2:86">
      <c r="B141" s="50"/>
      <c r="C141" s="24"/>
      <c r="D141" s="24"/>
      <c r="E141" s="33"/>
      <c r="F141" s="33"/>
      <c r="G141" s="33"/>
      <c r="H141" s="33"/>
      <c r="I141" s="33"/>
      <c r="J141" s="33"/>
      <c r="K141" s="33"/>
      <c r="L141" s="33"/>
      <c r="M141" s="33"/>
    </row>
    <row r="142" spans="2:86">
      <c r="B142" s="50"/>
      <c r="C142" s="24"/>
      <c r="D142" s="24"/>
      <c r="E142" s="33"/>
      <c r="F142" s="33"/>
      <c r="G142" s="33"/>
      <c r="H142" s="33"/>
      <c r="I142" s="33"/>
      <c r="J142" s="33"/>
      <c r="K142" s="33"/>
      <c r="L142" s="33"/>
      <c r="M142" s="33"/>
    </row>
    <row r="143" spans="2:86" ht="17.5">
      <c r="B143" s="50"/>
      <c r="C143" s="24"/>
      <c r="D143" s="24"/>
      <c r="E143" s="33"/>
      <c r="F143" s="33" t="s">
        <v>183</v>
      </c>
      <c r="G143" s="33"/>
      <c r="H143" s="33"/>
      <c r="I143" s="33"/>
      <c r="J143" s="204">
        <f>G66</f>
        <v>117.73491280059979</v>
      </c>
      <c r="K143" s="33"/>
      <c r="L143" s="33"/>
      <c r="M143" s="33"/>
    </row>
    <row r="144" spans="2:86" ht="17.5">
      <c r="B144" s="50"/>
      <c r="C144" s="24"/>
      <c r="D144" s="24"/>
      <c r="E144" s="153" t="s">
        <v>184</v>
      </c>
      <c r="F144" s="33"/>
      <c r="G144" s="33"/>
      <c r="H144" s="33"/>
      <c r="I144" s="33" t="s">
        <v>185</v>
      </c>
      <c r="J144" s="43">
        <f>E6</f>
        <v>46.283722168310341</v>
      </c>
      <c r="K144" s="33"/>
      <c r="L144" s="33"/>
      <c r="M144" s="33"/>
    </row>
    <row r="145" spans="2:13">
      <c r="B145" s="50"/>
      <c r="C145" s="24"/>
      <c r="D145" s="24"/>
      <c r="E145" s="33"/>
      <c r="F145" s="33"/>
      <c r="G145" s="33"/>
      <c r="H145" s="33"/>
      <c r="I145" s="33"/>
      <c r="J145" s="33"/>
      <c r="K145" s="33"/>
      <c r="L145" s="33"/>
      <c r="M145" s="33"/>
    </row>
    <row r="146" spans="2:13">
      <c r="B146" s="50"/>
      <c r="C146" s="24"/>
      <c r="D146" s="24"/>
      <c r="E146" s="33"/>
      <c r="F146" s="33"/>
      <c r="G146" s="33"/>
      <c r="H146" s="33"/>
      <c r="I146" s="33"/>
      <c r="J146" s="33"/>
      <c r="K146" s="33"/>
      <c r="L146" s="33"/>
      <c r="M146" s="33"/>
    </row>
    <row r="147" spans="2:13" ht="17.5">
      <c r="B147" s="50"/>
      <c r="C147" s="24"/>
      <c r="D147" s="24"/>
      <c r="F147" s="179" t="s">
        <v>186</v>
      </c>
      <c r="G147" s="33"/>
      <c r="H147" s="33"/>
      <c r="I147" s="50">
        <f>EXP(0.03118*J143)</f>
        <v>39.290178673737422</v>
      </c>
      <c r="J147" s="43">
        <f>I147-1</f>
        <v>38.290178673737422</v>
      </c>
      <c r="L147" s="33"/>
      <c r="M147" s="33"/>
    </row>
    <row r="148" spans="2:13">
      <c r="K148" s="33"/>
      <c r="L148" s="33"/>
      <c r="M148" s="33"/>
    </row>
    <row r="149" spans="2:13">
      <c r="B149" s="50"/>
      <c r="C149" s="24"/>
      <c r="D149" s="24"/>
      <c r="E149" s="33"/>
      <c r="F149" s="33"/>
      <c r="G149" s="33"/>
      <c r="H149" s="33"/>
      <c r="I149" s="33"/>
      <c r="J149" s="33"/>
      <c r="K149" s="33"/>
      <c r="L149" s="33"/>
      <c r="M149" s="33"/>
    </row>
    <row r="150" spans="2:13" ht="20.5">
      <c r="B150" s="50"/>
      <c r="C150" s="24"/>
      <c r="D150" s="24"/>
      <c r="E150" s="96" t="s">
        <v>187</v>
      </c>
      <c r="F150" s="159">
        <f>(J144)/J147</f>
        <v>1.2087622406435923</v>
      </c>
      <c r="G150" s="33"/>
      <c r="H150" s="33"/>
      <c r="I150" s="33"/>
      <c r="J150" s="33"/>
      <c r="K150" s="33"/>
      <c r="L150" s="33"/>
      <c r="M150" s="33"/>
    </row>
    <row r="203" spans="26:28">
      <c r="Z203" s="24"/>
      <c r="AB203" s="24"/>
    </row>
  </sheetData>
  <sortState xmlns:xlrd2="http://schemas.microsoft.com/office/spreadsheetml/2017/richdata2" ref="AV7:AW46">
    <sortCondition ref="AV7"/>
  </sortState>
  <phoneticPr fontId="1" type="noConversion"/>
  <pageMargins left="0.7" right="0.7" top="0.75" bottom="0.75" header="0.5" footer="0.5"/>
  <pageSetup paperSize="9" scale="54" fitToHeight="21" orientation="landscape" horizontalDpi="4294967293" verticalDpi="4294967293"/>
  <headerFooter>
    <oddHeader>&amp;F</oddHeader>
    <oddFooter>&amp;A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C5F3-CDF2-BC49-9315-DBFD82FDA960}">
  <dimension ref="E2:K39"/>
  <sheetViews>
    <sheetView zoomScale="73" zoomScaleNormal="109" workbookViewId="0">
      <selection activeCell="D37" sqref="D37"/>
    </sheetView>
  </sheetViews>
  <sheetFormatPr defaultColWidth="10.81640625" defaultRowHeight="12.5"/>
  <cols>
    <col min="1" max="16384" width="10.81640625" style="53"/>
  </cols>
  <sheetData>
    <row r="2" spans="5:11" ht="18">
      <c r="E2" s="176" t="s">
        <v>203</v>
      </c>
      <c r="F2" s="176"/>
      <c r="G2" s="176"/>
      <c r="H2" s="176"/>
      <c r="I2" s="176" t="s">
        <v>204</v>
      </c>
    </row>
    <row r="3" spans="5:11" ht="13">
      <c r="E3" s="231" t="s">
        <v>205</v>
      </c>
      <c r="F3" s="231" t="s">
        <v>206</v>
      </c>
      <c r="G3" s="231" t="s">
        <v>207</v>
      </c>
      <c r="H3" s="231"/>
      <c r="I3" s="231" t="s">
        <v>205</v>
      </c>
      <c r="J3" s="231" t="s">
        <v>206</v>
      </c>
      <c r="K3" s="231"/>
    </row>
    <row r="4" spans="5:11">
      <c r="E4" s="53">
        <f>CFCS!E5</f>
        <v>0</v>
      </c>
      <c r="F4" s="53" cm="1">
        <f t="array" ref="F4:F38">_xlfn._xlws.FILTER(Masses!C8:'Masses'!C76,(Masses!C8:'Masses'!C76&lt;&gt;""))</f>
        <v>0.5</v>
      </c>
      <c r="I4" s="53" t="s">
        <v>106</v>
      </c>
    </row>
    <row r="5" spans="5:11">
      <c r="E5" s="53">
        <f>CFCS!E6</f>
        <v>2.2994320156702193</v>
      </c>
      <c r="F5" s="53">
        <v>1.5</v>
      </c>
      <c r="I5" s="53" cm="1">
        <f t="array" ref="I5:I39">_xlfn._xlws.FILTER(CF!G6:'CF'!G74,(CF!G6:'CF'!G74&lt;&gt;""))</f>
        <v>0</v>
      </c>
      <c r="J5" s="53" t="str" cm="1">
        <f t="array" ref="J5:J39">_xlfn._xlws.FILTER(Masses!B7:'Masses'!B75,(Masses!B7:'Masses'!B75&lt;&gt;""))</f>
        <v>0</v>
      </c>
    </row>
    <row r="6" spans="5:11">
      <c r="E6" s="53">
        <f>CFCS!E7</f>
        <v>4.5988640313404385</v>
      </c>
      <c r="F6" s="53">
        <v>2.5</v>
      </c>
      <c r="I6" s="53">
        <v>1.8030736501859259</v>
      </c>
      <c r="J6" s="53">
        <v>1</v>
      </c>
    </row>
    <row r="7" spans="5:11">
      <c r="E7" s="53">
        <f>CFCS!E8</f>
        <v>6.8982960470106578</v>
      </c>
      <c r="F7" s="53">
        <v>3.5</v>
      </c>
      <c r="I7" s="53">
        <v>3.9689391127473144</v>
      </c>
      <c r="J7" s="53">
        <v>2</v>
      </c>
    </row>
    <row r="8" spans="5:11">
      <c r="E8" s="53">
        <f>CFCS!E9</f>
        <v>9.1977280626808771</v>
      </c>
      <c r="F8" s="53">
        <v>4.5</v>
      </c>
      <c r="I8" s="53">
        <v>6.6576702633117915</v>
      </c>
      <c r="J8" s="53">
        <v>3</v>
      </c>
    </row>
    <row r="9" spans="5:11">
      <c r="E9" s="53">
        <f>CFCS!E10</f>
        <v>11.497160078351097</v>
      </c>
      <c r="F9" s="53">
        <v>5.5</v>
      </c>
      <c r="I9" s="53">
        <v>9.5063587121374145</v>
      </c>
      <c r="J9" s="53">
        <v>4</v>
      </c>
    </row>
    <row r="10" spans="5:11">
      <c r="E10" s="53">
        <f>CFCS!E11</f>
        <v>13.796592094021316</v>
      </c>
      <c r="F10" s="53">
        <v>6.5</v>
      </c>
      <c r="I10" s="53">
        <v>12.602628197720536</v>
      </c>
      <c r="J10" s="53">
        <v>5</v>
      </c>
    </row>
    <row r="11" spans="5:11">
      <c r="E11" s="53">
        <f>CFCS!E12</f>
        <v>16.096024109691538</v>
      </c>
      <c r="F11" s="53">
        <v>7.5</v>
      </c>
      <c r="I11" s="53">
        <v>15.720246778565768</v>
      </c>
      <c r="J11" s="53">
        <v>6</v>
      </c>
    </row>
    <row r="12" spans="5:11">
      <c r="E12" s="53">
        <f>CFCS!E13</f>
        <v>18.395456125361754</v>
      </c>
      <c r="F12" s="53">
        <v>8.5</v>
      </c>
      <c r="I12" s="53">
        <v>19.057047142950911</v>
      </c>
      <c r="J12" s="53">
        <v>7</v>
      </c>
    </row>
    <row r="13" spans="5:11">
      <c r="E13" s="53">
        <f>CFCS!E14</f>
        <v>20.694888141031974</v>
      </c>
      <c r="F13" s="53">
        <v>9.5</v>
      </c>
      <c r="I13" s="53">
        <v>22.221720848295064</v>
      </c>
      <c r="J13" s="53">
        <v>8</v>
      </c>
    </row>
    <row r="14" spans="5:11">
      <c r="E14" s="53">
        <f>CFCS!E15</f>
        <v>22.994320156702194</v>
      </c>
      <c r="F14" s="53">
        <v>10.5</v>
      </c>
      <c r="I14" s="53">
        <v>24.714519571304784</v>
      </c>
      <c r="J14" s="53">
        <v>9</v>
      </c>
    </row>
    <row r="15" spans="5:11">
      <c r="E15" s="53">
        <f>CFCS!E16</f>
        <v>25.293752172372415</v>
      </c>
      <c r="F15" s="53">
        <v>11.5</v>
      </c>
      <c r="I15" s="53">
        <v>27.243351899644914</v>
      </c>
      <c r="J15" s="53">
        <v>10</v>
      </c>
    </row>
    <row r="16" spans="5:11">
      <c r="E16" s="53">
        <f>CFCS!E17</f>
        <v>27.593184188042631</v>
      </c>
      <c r="F16" s="53">
        <v>12.5</v>
      </c>
      <c r="I16" s="53">
        <v>29.858454135826733</v>
      </c>
      <c r="J16" s="53">
        <v>11</v>
      </c>
    </row>
    <row r="17" spans="5:10">
      <c r="E17" s="53">
        <f>CFCS!E18</f>
        <v>29.892616203712851</v>
      </c>
      <c r="F17" s="53">
        <v>13.5</v>
      </c>
      <c r="I17" s="53">
        <v>31.931313055377448</v>
      </c>
      <c r="J17" s="53">
        <v>12</v>
      </c>
    </row>
    <row r="18" spans="5:10">
      <c r="E18" s="53">
        <f>CFCS!E19</f>
        <v>32.192048219383075</v>
      </c>
      <c r="F18" s="53">
        <v>14.5</v>
      </c>
      <c r="I18" s="53">
        <v>34.268553671696736</v>
      </c>
      <c r="J18" s="53">
        <v>13</v>
      </c>
    </row>
    <row r="19" spans="5:10">
      <c r="E19" s="53">
        <f>CFCS!E20</f>
        <v>34.491480235053288</v>
      </c>
      <c r="F19" s="53">
        <v>15.5</v>
      </c>
      <c r="I19" s="53">
        <v>37.208055135782907</v>
      </c>
      <c r="J19" s="53">
        <v>14</v>
      </c>
    </row>
    <row r="20" spans="5:10">
      <c r="E20" s="53">
        <f>CFCS!E21</f>
        <v>36.790912250723508</v>
      </c>
      <c r="F20" s="53">
        <v>16.5</v>
      </c>
      <c r="I20" s="53">
        <v>40.656766027396372</v>
      </c>
      <c r="J20" s="53">
        <v>15</v>
      </c>
    </row>
    <row r="21" spans="5:10">
      <c r="E21" s="53">
        <f>CFCS!E22</f>
        <v>39.090344266393728</v>
      </c>
      <c r="F21" s="53">
        <v>17.5</v>
      </c>
      <c r="I21" s="53">
        <v>44.134818449963262</v>
      </c>
      <c r="J21" s="53">
        <v>16</v>
      </c>
    </row>
    <row r="22" spans="5:10">
      <c r="E22" s="53">
        <f>CFCS!E23</f>
        <v>41.389776282063949</v>
      </c>
      <c r="F22" s="53">
        <v>18.5</v>
      </c>
      <c r="I22" s="53">
        <v>47.493732810759937</v>
      </c>
      <c r="J22" s="53">
        <v>17</v>
      </c>
    </row>
    <row r="23" spans="5:10">
      <c r="E23" s="53">
        <f>CFCS!E24</f>
        <v>43.689208297734169</v>
      </c>
      <c r="F23" s="53">
        <v>19.5</v>
      </c>
      <c r="I23" s="53">
        <v>50.472996426617399</v>
      </c>
      <c r="J23" s="53">
        <v>18</v>
      </c>
    </row>
    <row r="24" spans="5:10">
      <c r="E24" s="53">
        <f>CFCS!E25</f>
        <v>45.988640313404389</v>
      </c>
      <c r="F24" s="53">
        <v>20.5</v>
      </c>
      <c r="I24" s="53">
        <v>53.636505277602751</v>
      </c>
      <c r="J24" s="53">
        <v>19</v>
      </c>
    </row>
    <row r="25" spans="5:10">
      <c r="E25" s="53">
        <f>CFCS!E26</f>
        <v>48.288072329074609</v>
      </c>
      <c r="F25" s="53">
        <v>21.5</v>
      </c>
      <c r="I25" s="53">
        <v>57.045956333609212</v>
      </c>
      <c r="J25" s="53">
        <v>20</v>
      </c>
    </row>
    <row r="26" spans="5:10">
      <c r="E26" s="53">
        <f>CFCS!E27</f>
        <v>50.587504344744829</v>
      </c>
      <c r="F26" s="53">
        <v>22.5</v>
      </c>
      <c r="I26" s="53">
        <v>60.377902565956987</v>
      </c>
      <c r="J26" s="53">
        <v>21</v>
      </c>
    </row>
    <row r="27" spans="5:10">
      <c r="E27" s="53">
        <f>CFCS!E28</f>
        <v>52.886936360415049</v>
      </c>
      <c r="F27" s="53">
        <v>23.5</v>
      </c>
      <c r="I27" s="53">
        <v>63.959952243477673</v>
      </c>
      <c r="J27" s="53">
        <v>22</v>
      </c>
    </row>
    <row r="28" spans="5:10">
      <c r="E28" s="53">
        <f>CFCS!E29</f>
        <v>55.186368376085262</v>
      </c>
      <c r="F28" s="53">
        <v>24.5</v>
      </c>
      <c r="I28" s="53">
        <v>68.525471255026972</v>
      </c>
      <c r="J28" s="53">
        <v>23</v>
      </c>
    </row>
    <row r="29" spans="5:10">
      <c r="E29" s="53">
        <f>CFCS!E30</f>
        <v>57.485800391755483</v>
      </c>
      <c r="F29" s="53">
        <v>25.5</v>
      </c>
      <c r="I29" s="53">
        <v>74.754505915386119</v>
      </c>
      <c r="J29" s="53">
        <v>24</v>
      </c>
    </row>
    <row r="30" spans="5:10">
      <c r="E30" s="53">
        <f>CFCS!E31</f>
        <v>59.785232407425703</v>
      </c>
      <c r="F30" s="53">
        <v>26.5</v>
      </c>
      <c r="I30" s="53">
        <v>79.827508966335927</v>
      </c>
      <c r="J30" s="53">
        <v>25</v>
      </c>
    </row>
    <row r="31" spans="5:10">
      <c r="E31" s="53">
        <f>CFCS!E32</f>
        <v>68.718580260155278</v>
      </c>
      <c r="F31" s="53">
        <v>27.5</v>
      </c>
      <c r="I31" s="53">
        <v>85.978856686137547</v>
      </c>
      <c r="J31" s="53">
        <v>26</v>
      </c>
    </row>
    <row r="32" spans="5:10">
      <c r="E32" s="53">
        <f>CFCS!E33</f>
        <v>77.65192811288486</v>
      </c>
      <c r="F32" s="53">
        <v>28.5</v>
      </c>
      <c r="I32" s="53">
        <v>92.984064613189659</v>
      </c>
      <c r="J32" s="53">
        <v>27</v>
      </c>
    </row>
    <row r="33" spans="5:10">
      <c r="E33" s="53">
        <f>CFCS!E34</f>
        <v>86.585275965614443</v>
      </c>
      <c r="F33" s="53">
        <v>29.5</v>
      </c>
      <c r="I33" s="53">
        <v>101.84915963310381</v>
      </c>
      <c r="J33" s="53">
        <v>28</v>
      </c>
    </row>
    <row r="34" spans="5:10">
      <c r="E34" s="53">
        <f>CFCS!E35</f>
        <v>95.518623818344025</v>
      </c>
      <c r="F34" s="53">
        <v>30.5</v>
      </c>
      <c r="I34" s="53">
        <v>108.98438459604988</v>
      </c>
      <c r="J34" s="53">
        <v>29</v>
      </c>
    </row>
    <row r="35" spans="5:10">
      <c r="E35" s="53">
        <f>CFCS!E36</f>
        <v>104.45197167107361</v>
      </c>
      <c r="F35" s="53">
        <v>31.5</v>
      </c>
      <c r="I35" s="53">
        <v>117.73491280059979</v>
      </c>
      <c r="J35" s="53">
        <v>30</v>
      </c>
    </row>
    <row r="36" spans="5:10">
      <c r="E36" s="53">
        <f>CFCS!E37</f>
        <v>113.38531952380319</v>
      </c>
      <c r="F36" s="53">
        <v>32.5</v>
      </c>
      <c r="I36" s="53">
        <v>128.81415442884997</v>
      </c>
      <c r="J36" s="53">
        <v>31</v>
      </c>
    </row>
    <row r="37" spans="5:10">
      <c r="E37" s="53">
        <f>CFCS!E38</f>
        <v>122.31866737653277</v>
      </c>
      <c r="F37" s="53">
        <v>33.5</v>
      </c>
      <c r="I37" s="53">
        <v>137.56349903989329</v>
      </c>
      <c r="J37" s="53">
        <v>32</v>
      </c>
    </row>
    <row r="38" spans="5:10">
      <c r="E38" s="53">
        <f>CFCS!E39</f>
        <v>131.25201522926235</v>
      </c>
      <c r="F38" s="53">
        <v>34.5</v>
      </c>
      <c r="I38" s="53">
        <v>147.72301539969743</v>
      </c>
      <c r="J38" s="53">
        <v>33</v>
      </c>
    </row>
    <row r="39" spans="5:10">
      <c r="I39" s="53">
        <v>155.64888733856</v>
      </c>
      <c r="J39" s="53">
        <v>34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F9DB384D2B9B4F909E7CE6390FD386" ma:contentTypeVersion="18" ma:contentTypeDescription="Create a new document." ma:contentTypeScope="" ma:versionID="2a4a7879e4345142aa631bf45f8a5b53">
  <xsd:schema xmlns:xsd="http://www.w3.org/2001/XMLSchema" xmlns:xs="http://www.w3.org/2001/XMLSchema" xmlns:p="http://schemas.microsoft.com/office/2006/metadata/properties" xmlns:ns2="f41172b4-acf7-42f8-9b6d-390c68595efb" xmlns:ns3="7a8db90d-979a-496b-a33a-0e81ef58e38d" targetNamespace="http://schemas.microsoft.com/office/2006/metadata/properties" ma:root="true" ma:fieldsID="3a4db3941a01b7f82d6d75b66ed506e6" ns2:_="" ns3:_="">
    <xsd:import namespace="f41172b4-acf7-42f8-9b6d-390c68595efb"/>
    <xsd:import namespace="7a8db90d-979a-496b-a33a-0e81ef58e3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172b4-acf7-42f8-9b6d-390c68595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3fdc6da-32ca-4a2b-983e-32d6a4a8ae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8db90d-979a-496b-a33a-0e81ef58e38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1a76462-941e-4e8a-a44d-1921065a7ef3}" ma:internalName="TaxCatchAll" ma:showField="CatchAllData" ma:web="7a8db90d-979a-496b-a33a-0e81ef58e3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1172b4-acf7-42f8-9b6d-390c68595efb">
      <Terms xmlns="http://schemas.microsoft.com/office/infopath/2007/PartnerControls"/>
    </lcf76f155ced4ddcb4097134ff3c332f>
    <TaxCatchAll xmlns="7a8db90d-979a-496b-a33a-0e81ef58e38d" xsi:nil="true"/>
  </documentManagement>
</p:properties>
</file>

<file path=customXml/itemProps1.xml><?xml version="1.0" encoding="utf-8"?>
<ds:datastoreItem xmlns:ds="http://schemas.openxmlformats.org/officeDocument/2006/customXml" ds:itemID="{4609FFB3-B224-40E1-BD93-DC7F76936F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172b4-acf7-42f8-9b6d-390c68595efb"/>
    <ds:schemaRef ds:uri="7a8db90d-979a-496b-a33a-0e81ef58e3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701B81-DB63-4E41-8428-7D2C1AC9C1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618D8D-E1C2-4A32-A721-61926D6C9208}">
  <ds:schemaRefs>
    <ds:schemaRef ds:uri="http://schemas.microsoft.com/office/2006/metadata/properties"/>
    <ds:schemaRef ds:uri="http://schemas.microsoft.com/office/infopath/2007/PartnerControls"/>
    <ds:schemaRef ds:uri="f41172b4-acf7-42f8-9b6d-390c68595efb"/>
    <ds:schemaRef ds:uri="7a8db90d-979a-496b-a33a-0e81ef58e38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Constants</vt:lpstr>
      <vt:lpstr>Masses</vt:lpstr>
      <vt:lpstr>Concentrations</vt:lpstr>
      <vt:lpstr>C0 CA</vt:lpstr>
      <vt:lpstr>CA</vt:lpstr>
      <vt:lpstr>CFCS</vt:lpstr>
      <vt:lpstr>DBD(0)</vt:lpstr>
      <vt:lpstr>CF</vt:lpstr>
      <vt:lpstr>Age vs Depth</vt:lpstr>
      <vt:lpstr>'C0 CA'!Print_Area</vt:lpstr>
      <vt:lpstr>CF!Print_Area</vt:lpstr>
      <vt:lpstr>CFCS!Print_Area</vt:lpstr>
      <vt:lpstr>Concentrations!Print_Area</vt:lpstr>
      <vt:lpstr>Constants!Print_Area</vt:lpstr>
      <vt:lpstr>'DBD(0)'!Print_Area</vt:lpstr>
      <vt:lpstr>Masses!Print_Area</vt:lpstr>
    </vt:vector>
  </TitlesOfParts>
  <Manager/>
  <Company>GEOTOP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Carolina Ruiz-Fernandez</dc:creator>
  <cp:keywords/>
  <dc:description/>
  <cp:lastModifiedBy>Moran, Riley Andrew</cp:lastModifiedBy>
  <cp:revision/>
  <dcterms:created xsi:type="dcterms:W3CDTF">2000-08-22T21:03:00Z</dcterms:created>
  <dcterms:modified xsi:type="dcterms:W3CDTF">2026-08-02T00:09:13Z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0x0101009CF9DB384D2B9B4F909E7CE6390FD386</vt:lpwstr>
  </property>
</Properties>
</file>